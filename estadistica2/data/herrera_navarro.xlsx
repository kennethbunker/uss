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8_{417D4955-F4D5-2248-8081-95698A20073D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data" sheetId="1" r:id="rId1"/>
    <sheet name="codebook" sheetId="2" r:id="rId2"/>
    <sheet name="variables" sheetId="3" r:id="rId3"/>
  </sheets>
  <definedNames>
    <definedName name="_xlnm._FilterDatabase" localSheetId="1" hidden="1">codebook!$A$1:$E$6</definedName>
    <definedName name="_xlnm._FilterDatabase" localSheetId="0" hidden="1">data!$A$1:$Q$233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3" i="1"/>
  <c r="L4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" i="1"/>
  <c r="H207" i="1"/>
  <c r="H29" i="1"/>
  <c r="H118" i="1"/>
  <c r="H71" i="1"/>
  <c r="H68" i="1"/>
  <c r="H52" i="1"/>
  <c r="H133" i="1"/>
  <c r="H72" i="1"/>
  <c r="H74" i="1"/>
  <c r="H82" i="1"/>
  <c r="H151" i="1"/>
  <c r="H41" i="1"/>
  <c r="H99" i="1"/>
  <c r="H154" i="1"/>
  <c r="H90" i="1"/>
  <c r="H212" i="1"/>
  <c r="H102" i="1"/>
  <c r="H200" i="1"/>
  <c r="H45" i="1"/>
  <c r="H144" i="1"/>
  <c r="H206" i="1"/>
  <c r="H146" i="1"/>
  <c r="H11" i="1"/>
  <c r="H166" i="1"/>
  <c r="H172" i="1"/>
  <c r="H155" i="1"/>
  <c r="H103" i="1"/>
  <c r="H208" i="1"/>
  <c r="H189" i="1"/>
  <c r="H156" i="1"/>
  <c r="H190" i="1"/>
  <c r="H145" i="1"/>
  <c r="H104" i="1"/>
  <c r="H91" i="1"/>
  <c r="H42" i="1"/>
  <c r="H49" i="1"/>
  <c r="H48" i="1"/>
  <c r="H110" i="1"/>
  <c r="H10" i="1"/>
  <c r="H12" i="1"/>
  <c r="H219" i="1"/>
  <c r="H84" i="1"/>
  <c r="H92" i="1"/>
  <c r="H220" i="1"/>
  <c r="H213" i="1"/>
  <c r="H27" i="1"/>
  <c r="H221" i="1"/>
  <c r="H191" i="1"/>
  <c r="H167" i="1"/>
  <c r="H58" i="1"/>
  <c r="H24" i="1"/>
  <c r="H35" i="1"/>
  <c r="H180" i="1"/>
  <c r="H192" i="1"/>
  <c r="H152" i="1"/>
  <c r="H209" i="1"/>
  <c r="H122" i="1"/>
  <c r="H105" i="1"/>
  <c r="H181" i="1"/>
  <c r="H162" i="1"/>
  <c r="H201" i="1"/>
  <c r="H77" i="1"/>
  <c r="H222" i="1"/>
  <c r="H223" i="1"/>
  <c r="H193" i="1"/>
  <c r="H194" i="1"/>
  <c r="H224" i="1"/>
  <c r="H228" i="1"/>
  <c r="H2" i="1"/>
  <c r="H197" i="1"/>
  <c r="H137" i="1"/>
  <c r="H106" i="1"/>
  <c r="H147" i="1"/>
  <c r="H202" i="1"/>
  <c r="H63" i="1"/>
  <c r="H6" i="1"/>
  <c r="H111" i="1"/>
  <c r="H40" i="1"/>
  <c r="H198" i="1"/>
  <c r="H83" i="1"/>
  <c r="H119" i="1"/>
  <c r="H112" i="1"/>
  <c r="H203" i="1"/>
  <c r="H36" i="1"/>
  <c r="H16" i="1"/>
  <c r="H25" i="1"/>
  <c r="H182" i="1"/>
  <c r="H195" i="1"/>
  <c r="H163" i="1"/>
  <c r="H59" i="1"/>
  <c r="H138" i="1"/>
  <c r="H30" i="1"/>
  <c r="H168" i="1"/>
  <c r="H169" i="1"/>
  <c r="H183" i="1"/>
  <c r="H184" i="1"/>
  <c r="H176" i="1"/>
  <c r="H120" i="1"/>
  <c r="H229" i="1"/>
  <c r="H230" i="1"/>
  <c r="H7" i="1"/>
  <c r="H31" i="1"/>
  <c r="H225" i="1"/>
  <c r="H117" i="1"/>
  <c r="H160" i="1"/>
  <c r="H107" i="1"/>
  <c r="H93" i="1"/>
  <c r="H60" i="1"/>
  <c r="H108" i="1"/>
  <c r="H85" i="1"/>
  <c r="H199" i="1"/>
  <c r="H226" i="1"/>
  <c r="H126" i="1"/>
  <c r="H185" i="1"/>
  <c r="H69" i="1"/>
  <c r="H46" i="1"/>
  <c r="H75" i="1"/>
  <c r="H53" i="1"/>
  <c r="H86" i="1"/>
  <c r="H57" i="1"/>
  <c r="H61" i="1"/>
  <c r="H43" i="1"/>
  <c r="H13" i="1"/>
  <c r="H127" i="1"/>
  <c r="H3" i="1"/>
  <c r="H17" i="1"/>
  <c r="H148" i="1"/>
  <c r="H54" i="1"/>
  <c r="H44" i="1"/>
  <c r="H149" i="1"/>
  <c r="H128" i="1"/>
  <c r="H214" i="1"/>
  <c r="H153" i="1"/>
  <c r="H173" i="1"/>
  <c r="H50" i="1"/>
  <c r="H4" i="1"/>
  <c r="H37" i="1"/>
  <c r="H204" i="1"/>
  <c r="H81" i="1"/>
  <c r="H76" i="1"/>
  <c r="H113" i="1"/>
  <c r="H205" i="1"/>
  <c r="H217" i="1"/>
  <c r="H94" i="1"/>
  <c r="H114" i="1"/>
  <c r="H157" i="1"/>
  <c r="H174" i="1"/>
  <c r="H215" i="1"/>
  <c r="H227" i="1"/>
  <c r="H70" i="1"/>
  <c r="H78" i="1"/>
  <c r="H64" i="1"/>
  <c r="H95" i="1"/>
  <c r="H38" i="1"/>
  <c r="H21" i="1"/>
  <c r="H79" i="1"/>
  <c r="H20" i="1"/>
  <c r="H55" i="1"/>
  <c r="H23" i="1"/>
  <c r="H56" i="1"/>
  <c r="H232" i="1"/>
  <c r="H131" i="1"/>
  <c r="H188" i="1"/>
  <c r="H161" i="1"/>
  <c r="H177" i="1"/>
  <c r="H14" i="1"/>
  <c r="H178" i="1"/>
  <c r="H210" i="1"/>
  <c r="H171" i="1"/>
  <c r="H100" i="1"/>
  <c r="H22" i="1"/>
  <c r="H80" i="1"/>
  <c r="H32" i="1"/>
  <c r="H8" i="1"/>
  <c r="H33" i="1"/>
  <c r="H179" i="1"/>
  <c r="H175" i="1"/>
  <c r="H164" i="1"/>
  <c r="H139" i="1"/>
  <c r="H140" i="1"/>
  <c r="H231" i="1"/>
  <c r="H121" i="1"/>
  <c r="H96" i="1"/>
  <c r="H51" i="1"/>
  <c r="H150" i="1"/>
  <c r="H186" i="1"/>
  <c r="H129" i="1"/>
  <c r="H115" i="1"/>
  <c r="H141" i="1"/>
  <c r="H34" i="1"/>
  <c r="H28" i="1"/>
  <c r="H116" i="1"/>
  <c r="H158" i="1"/>
  <c r="H123" i="1"/>
  <c r="H47" i="1"/>
  <c r="H73" i="1"/>
  <c r="H211" i="1"/>
  <c r="H218" i="1"/>
  <c r="H65" i="1"/>
  <c r="H196" i="1"/>
  <c r="H216" i="1"/>
  <c r="H170" i="1"/>
  <c r="H187" i="1"/>
  <c r="H39" i="1"/>
  <c r="H62" i="1"/>
  <c r="H26" i="1"/>
  <c r="H15" i="1"/>
  <c r="H130" i="1"/>
  <c r="H87" i="1"/>
  <c r="H142" i="1"/>
  <c r="H233" i="1"/>
  <c r="H124" i="1"/>
  <c r="H132" i="1"/>
  <c r="H135" i="1"/>
  <c r="H66" i="1"/>
  <c r="H88" i="1"/>
  <c r="H5" i="1"/>
  <c r="H19" i="1"/>
  <c r="H97" i="1"/>
  <c r="H89" i="1"/>
  <c r="H98" i="1"/>
  <c r="H143" i="1"/>
  <c r="H18" i="1"/>
  <c r="H109" i="1"/>
  <c r="H101" i="1"/>
  <c r="H67" i="1"/>
  <c r="H134" i="1"/>
  <c r="H125" i="1"/>
  <c r="H9" i="1"/>
  <c r="H159" i="1"/>
  <c r="H165" i="1"/>
  <c r="H136" i="1"/>
</calcChain>
</file>

<file path=xl/sharedStrings.xml><?xml version="1.0" encoding="utf-8"?>
<sst xmlns="http://schemas.openxmlformats.org/spreadsheetml/2006/main" count="1672" uniqueCount="339">
  <si>
    <t>name</t>
  </si>
  <si>
    <t>president</t>
  </si>
  <si>
    <t>start_president</t>
  </si>
  <si>
    <t>end_president</t>
  </si>
  <si>
    <t>ministry</t>
  </si>
  <si>
    <t>start_minister</t>
  </si>
  <si>
    <t>end_minister</t>
  </si>
  <si>
    <t>exp_executive</t>
  </si>
  <si>
    <t>exp_congress</t>
  </si>
  <si>
    <t>exp_ngo</t>
  </si>
  <si>
    <t>exp_thinktanks</t>
  </si>
  <si>
    <t>exp_business</t>
  </si>
  <si>
    <t>Abeliuk Manasevic, René</t>
  </si>
  <si>
    <t>Patricio Aylwin</t>
  </si>
  <si>
    <t>1990-03-11</t>
  </si>
  <si>
    <t>1994-03-11</t>
  </si>
  <si>
    <t>CORFO</t>
  </si>
  <si>
    <t>Albornoz Pollman, Laura</t>
  </si>
  <si>
    <t>Michelle Bachelet</t>
  </si>
  <si>
    <t>2006-03-11</t>
  </si>
  <si>
    <t>2010-03-11</t>
  </si>
  <si>
    <t>SERNAM</t>
  </si>
  <si>
    <t>2009-10-19</t>
  </si>
  <si>
    <t>Allamand Zavala, Andrés</t>
  </si>
  <si>
    <t>Sebastián Piñera</t>
  </si>
  <si>
    <t>2014-03-11</t>
  </si>
  <si>
    <t>Defensa Nacional</t>
  </si>
  <si>
    <t>2011-01-16</t>
  </si>
  <si>
    <t>2012-11-05</t>
  </si>
  <si>
    <t>Alvarado Constenla, Luis</t>
  </si>
  <si>
    <t>Bienes Nacionales</t>
  </si>
  <si>
    <t>Alvear Valenzuela, Soledad</t>
  </si>
  <si>
    <t>1991-01-03</t>
  </si>
  <si>
    <t>Ricardo Lagos</t>
  </si>
  <si>
    <t>2000-03-11</t>
  </si>
  <si>
    <t>Relaciones Exteriores</t>
  </si>
  <si>
    <t>2004-09-29</t>
  </si>
  <si>
    <t>Eduardo Frei</t>
  </si>
  <si>
    <t>Justicia</t>
  </si>
  <si>
    <t>1999-12-16</t>
  </si>
  <si>
    <t>Ampuero Espinoza, Roberto</t>
  </si>
  <si>
    <t>Consejo Nacional de la Cultura y las Artes</t>
  </si>
  <si>
    <t>2013-06-09</t>
  </si>
  <si>
    <t>Andrade Lara , Carmen</t>
  </si>
  <si>
    <t>2009-10-20</t>
  </si>
  <si>
    <t>Andrade Lara , Osvaldo</t>
  </si>
  <si>
    <t>Trabajo y Previsión Social</t>
  </si>
  <si>
    <t>2008-12-10</t>
  </si>
  <si>
    <t>Aninat Ureta, Eduardo</t>
  </si>
  <si>
    <t>Hacienda</t>
  </si>
  <si>
    <t>1999-12-03</t>
  </si>
  <si>
    <t>Antonijevic Hahn, Ingrid</t>
  </si>
  <si>
    <t>Economía, Fomento y Reconstrucción</t>
  </si>
  <si>
    <t>2006-07-14</t>
  </si>
  <si>
    <t>Arellano Marín, José Pablo</t>
  </si>
  <si>
    <t>Educación</t>
  </si>
  <si>
    <t>1996-09-28</t>
  </si>
  <si>
    <t>Armanet Armanet, Pilar</t>
  </si>
  <si>
    <t>SEGEGOB</t>
  </si>
  <si>
    <t>2009-12-18</t>
  </si>
  <si>
    <t>Arrate Mac Niven, Jorge</t>
  </si>
  <si>
    <t>1992-09-28</t>
  </si>
  <si>
    <t>1998-08-01</t>
  </si>
  <si>
    <t>1999-06-22</t>
  </si>
  <si>
    <t>Arriagada Herrera, Genaro</t>
  </si>
  <si>
    <t>SEGPRES</t>
  </si>
  <si>
    <t>Artaza Barrios, Osvaldo</t>
  </si>
  <si>
    <t>Salud</t>
  </si>
  <si>
    <t>2002-01-07</t>
  </si>
  <si>
    <t>2003-03-03</t>
  </si>
  <si>
    <t>Aylwin Oyarzún, Mariana</t>
  </si>
  <si>
    <t>Bachelet Jeria, Michelle</t>
  </si>
  <si>
    <t>Baranda Ferran, Bruno</t>
  </si>
  <si>
    <t>Desarrollo Social</t>
  </si>
  <si>
    <t>Barría Iroume, María Soledad</t>
  </si>
  <si>
    <t>2008-10-28</t>
  </si>
  <si>
    <t>Bates Hidalgo, Luis</t>
  </si>
  <si>
    <t>Benítez Pereira, María Ignacia</t>
  </si>
  <si>
    <t>Medio Ambiente</t>
  </si>
  <si>
    <t>Beyer Burgos, Harald</t>
  </si>
  <si>
    <t>2011-12-29</t>
  </si>
  <si>
    <t>2013-04-18</t>
  </si>
  <si>
    <t>Biehl del Rio, John</t>
  </si>
  <si>
    <t>Bilbao Mendezona, Josefina</t>
  </si>
  <si>
    <t>Bitar Chacra, Sergio</t>
  </si>
  <si>
    <t>Obras Públicas</t>
  </si>
  <si>
    <t>2008-01-11</t>
  </si>
  <si>
    <t>2005-12-14</t>
  </si>
  <si>
    <t>Bitrán Colodro, Eduardo</t>
  </si>
  <si>
    <t>2008-01-08</t>
  </si>
  <si>
    <t>Blanlot Soza, Vivianne</t>
  </si>
  <si>
    <t>2007-03-26</t>
  </si>
  <si>
    <t>Boeninger Kausel, Edgardo</t>
  </si>
  <si>
    <t>Brunner Ried, José Joaquín</t>
  </si>
  <si>
    <t>1994-09-20</t>
  </si>
  <si>
    <t>Bulnes Serrano, Felipe</t>
  </si>
  <si>
    <t>2011-07-18</t>
  </si>
  <si>
    <t>Bunster Betteley, Jorge</t>
  </si>
  <si>
    <t>Energía</t>
  </si>
  <si>
    <t>2012-04-03</t>
  </si>
  <si>
    <t>Campos Quiroga, Jaime</t>
  </si>
  <si>
    <t>Agricultura</t>
  </si>
  <si>
    <t>Chadwick Piñera, Andrés</t>
  </si>
  <si>
    <t>Interior y Seguridad Pública</t>
  </si>
  <si>
    <t>Correa Díaz, Germán</t>
  </si>
  <si>
    <t>Transporte y Telecomunicaciones</t>
  </si>
  <si>
    <t>Interior</t>
  </si>
  <si>
    <t>Correa Rios, Enrique</t>
  </si>
  <si>
    <t>Cortázar Sanz, René</t>
  </si>
  <si>
    <t>2007-03-27</t>
  </si>
  <si>
    <t>Cruz Coke Carvallo, Luciano</t>
  </si>
  <si>
    <t>2013-06-06</t>
  </si>
  <si>
    <t>Cruz Lorenzen, Carlos</t>
  </si>
  <si>
    <t>Cumplido Cereceda, Francisco</t>
  </si>
  <si>
    <t>De Gregorio Rebeco, José</t>
  </si>
  <si>
    <t>Minería</t>
  </si>
  <si>
    <t>2001-06-19</t>
  </si>
  <si>
    <t>Comisión Nacional de Energía</t>
  </si>
  <si>
    <t>De Solminihac Tampier, Hernán</t>
  </si>
  <si>
    <t>De Vicente Mingo, Felix</t>
  </si>
  <si>
    <t>Economía, Fomento y Turismo</t>
  </si>
  <si>
    <t>2013-05-07</t>
  </si>
  <si>
    <t>Delpiano Puelma, Adriana</t>
  </si>
  <si>
    <t>1999-04-13</t>
  </si>
  <si>
    <t>Dockendorff Vallejos, Eduardo</t>
  </si>
  <si>
    <t>2004-06-03</t>
  </si>
  <si>
    <t>Dulanto Rencoret, Alfonso</t>
  </si>
  <si>
    <t>Echeverría Vial, Fernando</t>
  </si>
  <si>
    <t>2011-07-21</t>
  </si>
  <si>
    <t>Erazo Latorre, Álvaro</t>
  </si>
  <si>
    <t>2008-11-06</t>
  </si>
  <si>
    <t>Errázuriz Domínguez, Pedro Pablo</t>
  </si>
  <si>
    <t>Espejo Yaksic, Sergio</t>
  </si>
  <si>
    <t>Estévez Valencia, Jaime</t>
  </si>
  <si>
    <t>2005-01-03</t>
  </si>
  <si>
    <t>Etcheberry Celhay, Javier</t>
  </si>
  <si>
    <t>Etchegaray Aubry, Alberto</t>
  </si>
  <si>
    <t>Vivienda y Urbanismo</t>
  </si>
  <si>
    <t>Eyzaguirre Guzmán, Nicolás</t>
  </si>
  <si>
    <t>Fernández Amunátegui , Mariano</t>
  </si>
  <si>
    <t>2009-03-13</t>
  </si>
  <si>
    <t>Fernández Baeza, Mario</t>
  </si>
  <si>
    <t>Ferreiro Yazigi, Alejandro</t>
  </si>
  <si>
    <t>Figueroa Muñoz, Álex</t>
  </si>
  <si>
    <t>1996-08-07</t>
  </si>
  <si>
    <t>Figueroa Serrano, Carlos</t>
  </si>
  <si>
    <t>Figueroa Yávar, Juan Agustín</t>
  </si>
  <si>
    <t>Fontaine Talavera, Juan Andres</t>
  </si>
  <si>
    <t>Foxley Rioseco, Alejandro</t>
  </si>
  <si>
    <t>2009-03-12</t>
  </si>
  <si>
    <t>Galilea Ocón, Sergio</t>
  </si>
  <si>
    <t>1999-08-13</t>
  </si>
  <si>
    <t>Galilea Vidaurre, José Antonio</t>
  </si>
  <si>
    <t>García Aspillaga, Pedro</t>
  </si>
  <si>
    <t>García Hurtado, Álvaro</t>
  </si>
  <si>
    <t>1998-01-01</t>
  </si>
  <si>
    <t>Golborne Riveros, Laurence</t>
  </si>
  <si>
    <t>González Larraín, Santiago</t>
  </si>
  <si>
    <t>Goñi Carrasco, José</t>
  </si>
  <si>
    <t>Guzmán Correa, José</t>
  </si>
  <si>
    <t>Gómez Urrutia, José Antonio</t>
  </si>
  <si>
    <t>1999-12-15</t>
  </si>
  <si>
    <t>Hales Jamarne, Alejandro</t>
  </si>
  <si>
    <t>Hamilton Depassier, Juan</t>
  </si>
  <si>
    <t>Hardy Raskovan , Clarisa</t>
  </si>
  <si>
    <t>MIDEPLAN</t>
  </si>
  <si>
    <t>Heine Lorenzen, Jorge</t>
  </si>
  <si>
    <t>Henríquez Díaz, Sergio</t>
  </si>
  <si>
    <t>1997-07-24</t>
  </si>
  <si>
    <t>Hermosilla Hermosilla, Edmundo</t>
  </si>
  <si>
    <t>Hinzpeter Kirberg, Rodrigo</t>
  </si>
  <si>
    <t>Hohmann Barrientos, Claudio</t>
  </si>
  <si>
    <t>Hornkohl Venegas, Marigen</t>
  </si>
  <si>
    <t>Huenchumilla Jaramillo, Francisco</t>
  </si>
  <si>
    <t>Huepe García, Claudio</t>
  </si>
  <si>
    <t>Hurtado Ruiz-Tagle, Carlos</t>
  </si>
  <si>
    <t>Insulza Salinas, José Miguel</t>
  </si>
  <si>
    <t>2005-05-24</t>
  </si>
  <si>
    <t>Irureta Aburto, Narciso</t>
  </si>
  <si>
    <t>Jadresic Marinovic, Alejandro</t>
  </si>
  <si>
    <t>Jiménez Moraga, Sergio</t>
  </si>
  <si>
    <t>1997-08-13</t>
  </si>
  <si>
    <t>Jiménez de la Jara, Jorge</t>
  </si>
  <si>
    <t>1992-10-30</t>
  </si>
  <si>
    <t>Jiménez de la Jara, Mónica</t>
  </si>
  <si>
    <t>2008-04-18</t>
  </si>
  <si>
    <t>Jobet Eluchans, Juan Carlos</t>
  </si>
  <si>
    <t>2013-07-24</t>
  </si>
  <si>
    <t>Kast Sommerhoff, Felipe</t>
  </si>
  <si>
    <t>Krauss Rusque, Enrique</t>
  </si>
  <si>
    <t>Krauss Valle, Alejandra</t>
  </si>
  <si>
    <t>Lagos Escobar, Ricardo</t>
  </si>
  <si>
    <t>Lagos Weber, Ricardo</t>
  </si>
  <si>
    <t>2007-12-06</t>
  </si>
  <si>
    <t>Landerretche Gacitúa, Óscar</t>
  </si>
  <si>
    <t>1998-11-24</t>
  </si>
  <si>
    <t>Larraín Bascuñan, Felipe</t>
  </si>
  <si>
    <t>Larroulet Vignau, Cristián</t>
  </si>
  <si>
    <t>Lavados Montes, Hugo</t>
  </si>
  <si>
    <t>Lavín Infante, Joaquín</t>
  </si>
  <si>
    <t>Leiva Lavalle, Jorge</t>
  </si>
  <si>
    <t>1998-08-04</t>
  </si>
  <si>
    <t>Ljubetic Godoy, Yerko</t>
  </si>
  <si>
    <t>2005-04-22</t>
  </si>
  <si>
    <t>Longueira Montes, Pablo</t>
  </si>
  <si>
    <t>2013-04-29</t>
  </si>
  <si>
    <t>Maira Aguirre, Luis</t>
  </si>
  <si>
    <t>Maldonado Curti, Carlos</t>
  </si>
  <si>
    <t>Marfán Lewis, Manuel</t>
  </si>
  <si>
    <t>Marshall Rivera, Jorge</t>
  </si>
  <si>
    <t>1993-12-16</t>
  </si>
  <si>
    <t>Massad Abud, Carlos</t>
  </si>
  <si>
    <t>Matte Lecaros, Magdalena</t>
  </si>
  <si>
    <t>2011-04-19</t>
  </si>
  <si>
    <t>Matthei Fornet, Evelyn</t>
  </si>
  <si>
    <t>2013-07-20</t>
  </si>
  <si>
    <t>Mayol Bouchon, Luis</t>
  </si>
  <si>
    <t>Mañalich Muxi, Jaime</t>
  </si>
  <si>
    <t>Merino Catalán, Camila</t>
  </si>
  <si>
    <t>2011-01-14</t>
  </si>
  <si>
    <t>Mladinic Alonso, Carlos</t>
  </si>
  <si>
    <t>Molina Silva, Sergio</t>
  </si>
  <si>
    <t>1994-09-26</t>
  </si>
  <si>
    <t>Molina Valdivieso, Germán</t>
  </si>
  <si>
    <t>Montt Momberg, Julio</t>
  </si>
  <si>
    <t>Morandé Lavín, Felipe</t>
  </si>
  <si>
    <t>Moreno Charme, Alfredo</t>
  </si>
  <si>
    <t>Muñoz Valenzuela, Heraldo</t>
  </si>
  <si>
    <t>Ominami Pascual, Carlos</t>
  </si>
  <si>
    <t>Orrego Larraín, Claudio</t>
  </si>
  <si>
    <t>2000-12-29</t>
  </si>
  <si>
    <t>Ortega Riquelme, Emiliano</t>
  </si>
  <si>
    <t>Palma Irarrázaval, Andrés</t>
  </si>
  <si>
    <t>Parot Donoso, Catalina</t>
  </si>
  <si>
    <t>Pizarro Hofer, Roberto</t>
  </si>
  <si>
    <t>1996-10-01</t>
  </si>
  <si>
    <t>1998-03-05</t>
  </si>
  <si>
    <t>Poblete Bennett, Patricia</t>
  </si>
  <si>
    <t>Poniachik Pollak, Karen</t>
  </si>
  <si>
    <t>Provoste Campillay, Yasna</t>
  </si>
  <si>
    <t>2008-04-03</t>
  </si>
  <si>
    <t>Puccio Huidobro, Osvaldo</t>
  </si>
  <si>
    <t>Pérez Díaz, Cecilia</t>
  </si>
  <si>
    <t>Pérez Goldberg, Patricia</t>
  </si>
  <si>
    <t>2012-12-17</t>
  </si>
  <si>
    <t>Pérez Jara, Cecilia</t>
  </si>
  <si>
    <t>Pérez Mackenna, Rodrigo</t>
  </si>
  <si>
    <t>Pérez Yoma, Edmundo</t>
  </si>
  <si>
    <t>1998-01-16</t>
  </si>
  <si>
    <t>Quintana Meléndez, Paula</t>
  </si>
  <si>
    <t>Quintana Peña, Germán</t>
  </si>
  <si>
    <t>1998-05-19</t>
  </si>
  <si>
    <t>Rainieri Bernain, Ricardo</t>
  </si>
  <si>
    <t>Ravinet de La Fuente, Jaime</t>
  </si>
  <si>
    <t>2004-10-01</t>
  </si>
  <si>
    <t>Rebolledo González, Víctor Manuel</t>
  </si>
  <si>
    <t>Ribera Neumann, Teodoro</t>
  </si>
  <si>
    <t>Rodríguez Grossi, Jorge</t>
  </si>
  <si>
    <t>Rojas Marín, Álvaro</t>
  </si>
  <si>
    <t>Rojas Saavedra, Patricio</t>
  </si>
  <si>
    <t>Ruiz Tagle Correa, Gabriel</t>
  </si>
  <si>
    <t>Deportes</t>
  </si>
  <si>
    <t>2013-11-14</t>
  </si>
  <si>
    <t>Sandoval Precht, Felipe</t>
  </si>
  <si>
    <t>1997-11-29</t>
  </si>
  <si>
    <t>Sartori Arellano, Ángel</t>
  </si>
  <si>
    <t>Schiefelbein Fuenzalida, Ernesto</t>
  </si>
  <si>
    <t>Schmidt Crnosija, Romy</t>
  </si>
  <si>
    <t>2010-01-06</t>
  </si>
  <si>
    <t>Schmidt Zaldívar, Carolina</t>
  </si>
  <si>
    <t>2013-04-22</t>
  </si>
  <si>
    <t>Seguel King, Loreto</t>
  </si>
  <si>
    <t>Serrano Madrid, Claudia</t>
  </si>
  <si>
    <t>2008-12-15</t>
  </si>
  <si>
    <t>Silva Cimma, Enrique</t>
  </si>
  <si>
    <t>Silva Rojas, María Loreto</t>
  </si>
  <si>
    <t>Solari Saavedra, Ricardo</t>
  </si>
  <si>
    <t>2005-04-25</t>
  </si>
  <si>
    <t>Solís Palma, Isidro</t>
  </si>
  <si>
    <t>Teplizky Lijavetzky, Benjamín</t>
  </si>
  <si>
    <t>1997-08-03</t>
  </si>
  <si>
    <t>Tohá González, Jaime</t>
  </si>
  <si>
    <t>1993-12-15</t>
  </si>
  <si>
    <t>2000-03-09</t>
  </si>
  <si>
    <t>Tohá Morales, Carolina</t>
  </si>
  <si>
    <t>2009-12-14</t>
  </si>
  <si>
    <t>Tokman Ramos, Marcelo</t>
  </si>
  <si>
    <t>Troncoso Castillo, Raúl</t>
  </si>
  <si>
    <t>Tschorne Berestesky, Sonia</t>
  </si>
  <si>
    <t>Uriarte Rodríguez, Ana Lya</t>
  </si>
  <si>
    <t>Comisión Nacional de Medio Ambiente</t>
  </si>
  <si>
    <t>Urrutia Fernández, Paulina</t>
  </si>
  <si>
    <t>Valdés Soublette, Juan Gabriel</t>
  </si>
  <si>
    <t>Velasco Baraona, Belisario</t>
  </si>
  <si>
    <t>2008-01-04</t>
  </si>
  <si>
    <t>Velasco Brañes , Andrés</t>
  </si>
  <si>
    <t>Veloso Valenzuela, Paulina</t>
  </si>
  <si>
    <t>Vidal Salinas, Francisco</t>
  </si>
  <si>
    <t>Viera-Gallo Quesney, José Antonio</t>
  </si>
  <si>
    <t>Villarzú Rohde, Juan</t>
  </si>
  <si>
    <t>Von Baer Jahn, Ena</t>
  </si>
  <si>
    <t>Walker Prieto, Ignacio</t>
  </si>
  <si>
    <t>Weinstein Cayuela, José</t>
  </si>
  <si>
    <t>2003-08-06</t>
  </si>
  <si>
    <t>Weinstein Levy, Jacqueline</t>
  </si>
  <si>
    <t>Zaldívar Larraín, Andrés</t>
  </si>
  <si>
    <t>Zilic Hrepic, Martín</t>
  </si>
  <si>
    <t>Álvarez Zenteno, Rodrigo</t>
  </si>
  <si>
    <t>2011-07-22</t>
  </si>
  <si>
    <t>2012-03-27</t>
  </si>
  <si>
    <t>días</t>
  </si>
  <si>
    <t>edad</t>
  </si>
  <si>
    <t>sexo</t>
  </si>
  <si>
    <t>variables</t>
  </si>
  <si>
    <t>descripción</t>
  </si>
  <si>
    <t>medición</t>
  </si>
  <si>
    <t>min</t>
  </si>
  <si>
    <t>max</t>
  </si>
  <si>
    <t xml:space="preserve">Variable Dependiente </t>
  </si>
  <si>
    <t>Variable Independiente 1</t>
  </si>
  <si>
    <t>Variable Independiente 2</t>
  </si>
  <si>
    <t>Variable Independiente 3</t>
  </si>
  <si>
    <t>Variable Independiente 4</t>
  </si>
  <si>
    <t>CONTINUA</t>
  </si>
  <si>
    <t>DUMMY</t>
  </si>
  <si>
    <t xml:space="preserve">cuantitativa continua </t>
  </si>
  <si>
    <t>cuantitativa discreta</t>
  </si>
  <si>
    <t>cualitativa nominal</t>
  </si>
  <si>
    <t>A medida que aumenta la edad del ministro, mayor es la experiencia y la duración en el cargo</t>
  </si>
  <si>
    <t>la durabilidad de los ministros nombrados mas actualmente en comparación de los 90, es menor debido al cambio en la política y la opinión pública</t>
  </si>
  <si>
    <t>las ministras mujeres tendran menos numeros de días en el poder, debido a factores de genero en la política chilena</t>
  </si>
  <si>
    <t>0= hombre</t>
  </si>
  <si>
    <t>1= mujer</t>
  </si>
  <si>
    <t>spell</t>
  </si>
  <si>
    <t>experiencia</t>
  </si>
  <si>
    <t>continua discreta</t>
  </si>
  <si>
    <t>expeciencia_total</t>
  </si>
  <si>
    <t>los ministros con mayor experiencia en otros ambitos, tienen una mayor estabilidad política</t>
  </si>
  <si>
    <t>sexo (dummy)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</si>
</sst>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0" xfId="0" applyFill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BD1F5"/>
      <color rgb="FFF8BEED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3"/>
  <sheetViews>
    <sheetView tabSelected="1" workbookViewId="0">
      <selection activeCell="A13" sqref="A13"/>
    </sheetView>
  </sheetViews>
  <sheetFormatPr baseColWidth="10" defaultColWidth="9.1640625" defaultRowHeight="15" x14ac:dyDescent="0.2"/>
  <cols>
    <col min="1" max="1" width="27.83203125" bestFit="1" customWidth="1"/>
    <col min="2" max="2" width="14.5" bestFit="1" customWidth="1"/>
    <col min="3" max="3" width="18" bestFit="1" customWidth="1"/>
    <col min="4" max="4" width="17.5" bestFit="1" customWidth="1"/>
    <col min="5" max="5" width="32.33203125" bestFit="1" customWidth="1"/>
    <col min="6" max="6" width="17" bestFit="1" customWidth="1"/>
    <col min="7" max="7" width="16.5" bestFit="1" customWidth="1"/>
    <col min="8" max="8" width="9.1640625" style="5" bestFit="1" customWidth="1"/>
    <col min="9" max="9" width="8.83203125" style="2" bestFit="1" customWidth="1"/>
    <col min="10" max="10" width="19" style="2" bestFit="1" customWidth="1"/>
    <col min="11" max="11" width="9.1640625" style="2"/>
    <col min="12" max="12" width="19.5" style="2" customWidth="1"/>
  </cols>
  <sheetData>
    <row r="1" spans="1:1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310</v>
      </c>
      <c r="I1" s="3" t="s">
        <v>311</v>
      </c>
      <c r="J1" s="21" t="s">
        <v>333</v>
      </c>
      <c r="K1" s="3" t="s">
        <v>312</v>
      </c>
      <c r="L1" s="3" t="s">
        <v>334</v>
      </c>
      <c r="M1" s="22" t="s">
        <v>7</v>
      </c>
      <c r="N1" s="22" t="s">
        <v>8</v>
      </c>
      <c r="O1" s="22" t="s">
        <v>9</v>
      </c>
      <c r="P1" s="22" t="s">
        <v>10</v>
      </c>
      <c r="Q1" s="22" t="s">
        <v>11</v>
      </c>
    </row>
    <row r="2" spans="1:17" x14ac:dyDescent="0.2">
      <c r="A2" t="s">
        <v>138</v>
      </c>
      <c r="B2" t="s">
        <v>33</v>
      </c>
      <c r="C2" t="s">
        <v>34</v>
      </c>
      <c r="D2" t="s">
        <v>19</v>
      </c>
      <c r="E2" s="8" t="s">
        <v>49</v>
      </c>
      <c r="F2" t="s">
        <v>34</v>
      </c>
      <c r="G2" t="s">
        <v>19</v>
      </c>
      <c r="H2" s="5">
        <f t="shared" ref="H2:H65" si="0">G2-F2</f>
        <v>2191</v>
      </c>
      <c r="I2" s="2">
        <v>47</v>
      </c>
      <c r="J2" s="2" t="str">
        <f>TEXT(F2, "yyyy")</f>
        <v>2000</v>
      </c>
      <c r="K2" s="2">
        <v>0</v>
      </c>
      <c r="L2" s="2">
        <f>M2+N2+O2+P2+Q2</f>
        <v>0</v>
      </c>
      <c r="M2" s="23">
        <v>0</v>
      </c>
      <c r="N2" s="23">
        <v>0</v>
      </c>
      <c r="O2" s="23">
        <v>0</v>
      </c>
      <c r="P2" s="23">
        <v>0</v>
      </c>
      <c r="Q2" s="23">
        <v>0</v>
      </c>
    </row>
    <row r="3" spans="1:17" x14ac:dyDescent="0.2">
      <c r="A3" t="s">
        <v>196</v>
      </c>
      <c r="B3" t="s">
        <v>24</v>
      </c>
      <c r="C3" t="s">
        <v>20</v>
      </c>
      <c r="D3" t="s">
        <v>25</v>
      </c>
      <c r="E3" s="8" t="s">
        <v>49</v>
      </c>
      <c r="F3" t="s">
        <v>20</v>
      </c>
      <c r="G3" t="s">
        <v>25</v>
      </c>
      <c r="H3" s="5">
        <f t="shared" si="0"/>
        <v>1461</v>
      </c>
      <c r="I3" s="2">
        <v>52</v>
      </c>
      <c r="J3" s="2" t="str">
        <f t="shared" ref="J3:J66" si="1">TEXT(F3, "yyyy")</f>
        <v>2010</v>
      </c>
      <c r="K3" s="2">
        <v>0</v>
      </c>
      <c r="L3" s="2">
        <f t="shared" ref="L3:L66" si="2">M3+N3+O3+P3+Q3</f>
        <v>1</v>
      </c>
      <c r="M3" s="23">
        <v>0</v>
      </c>
      <c r="N3" s="23">
        <v>0</v>
      </c>
      <c r="O3" s="23">
        <v>0</v>
      </c>
      <c r="P3" s="23">
        <v>0</v>
      </c>
      <c r="Q3" s="23">
        <v>1</v>
      </c>
    </row>
    <row r="4" spans="1:17" x14ac:dyDescent="0.2">
      <c r="A4" t="s">
        <v>208</v>
      </c>
      <c r="B4" t="s">
        <v>37</v>
      </c>
      <c r="C4" t="s">
        <v>15</v>
      </c>
      <c r="D4" t="s">
        <v>34</v>
      </c>
      <c r="E4" s="8" t="s">
        <v>49</v>
      </c>
      <c r="F4" t="s">
        <v>50</v>
      </c>
      <c r="G4" t="s">
        <v>34</v>
      </c>
      <c r="H4" s="5">
        <f t="shared" si="0"/>
        <v>99</v>
      </c>
      <c r="I4" s="2">
        <v>46</v>
      </c>
      <c r="J4" s="2" t="str">
        <f t="shared" si="1"/>
        <v>1999</v>
      </c>
      <c r="K4" s="2">
        <v>0</v>
      </c>
      <c r="L4" s="2">
        <f t="shared" si="2"/>
        <v>0</v>
      </c>
      <c r="M4" s="23">
        <v>0</v>
      </c>
      <c r="N4" s="23">
        <v>0</v>
      </c>
      <c r="O4" s="23">
        <v>0</v>
      </c>
      <c r="P4" s="23">
        <v>0</v>
      </c>
      <c r="Q4" s="23">
        <v>0</v>
      </c>
    </row>
    <row r="5" spans="1:17" x14ac:dyDescent="0.2">
      <c r="A5" t="s">
        <v>295</v>
      </c>
      <c r="B5" t="s">
        <v>18</v>
      </c>
      <c r="C5" t="s">
        <v>19</v>
      </c>
      <c r="D5" t="s">
        <v>20</v>
      </c>
      <c r="E5" s="8" t="s">
        <v>49</v>
      </c>
      <c r="F5" t="s">
        <v>19</v>
      </c>
      <c r="G5" t="s">
        <v>20</v>
      </c>
      <c r="H5" s="5">
        <f t="shared" si="0"/>
        <v>1461</v>
      </c>
      <c r="I5" s="2">
        <v>45</v>
      </c>
      <c r="J5" s="2" t="str">
        <f t="shared" si="1"/>
        <v>2006</v>
      </c>
      <c r="K5" s="2">
        <v>0</v>
      </c>
      <c r="L5" s="2">
        <f>M5+N5+O5+P5+Q5</f>
        <v>3</v>
      </c>
      <c r="M5" s="23">
        <v>1</v>
      </c>
      <c r="N5" s="23">
        <v>0</v>
      </c>
      <c r="O5" s="23">
        <v>1</v>
      </c>
      <c r="P5" s="23">
        <v>1</v>
      </c>
      <c r="Q5" s="23">
        <v>0</v>
      </c>
    </row>
    <row r="6" spans="1:17" x14ac:dyDescent="0.2">
      <c r="A6" t="s">
        <v>145</v>
      </c>
      <c r="B6" t="s">
        <v>37</v>
      </c>
      <c r="C6" t="s">
        <v>15</v>
      </c>
      <c r="D6" t="s">
        <v>34</v>
      </c>
      <c r="E6" t="s">
        <v>106</v>
      </c>
      <c r="F6" t="s">
        <v>94</v>
      </c>
      <c r="G6" t="s">
        <v>62</v>
      </c>
      <c r="H6" s="5">
        <f t="shared" si="0"/>
        <v>1411</v>
      </c>
      <c r="I6" s="2">
        <v>64</v>
      </c>
      <c r="J6" s="2" t="str">
        <f t="shared" si="1"/>
        <v>1994</v>
      </c>
      <c r="K6" s="2">
        <v>0</v>
      </c>
      <c r="L6" s="2">
        <f t="shared" si="2"/>
        <v>1</v>
      </c>
      <c r="M6" s="23">
        <v>0</v>
      </c>
      <c r="N6" s="23">
        <v>0</v>
      </c>
      <c r="O6" s="23">
        <v>1</v>
      </c>
      <c r="P6" s="23">
        <v>0</v>
      </c>
      <c r="Q6" s="23">
        <v>0</v>
      </c>
    </row>
    <row r="7" spans="1:17" x14ac:dyDescent="0.2">
      <c r="A7" t="s">
        <v>170</v>
      </c>
      <c r="B7" t="s">
        <v>24</v>
      </c>
      <c r="C7" t="s">
        <v>20</v>
      </c>
      <c r="D7" t="s">
        <v>25</v>
      </c>
      <c r="E7" t="s">
        <v>106</v>
      </c>
      <c r="F7" t="s">
        <v>20</v>
      </c>
      <c r="G7" t="s">
        <v>28</v>
      </c>
      <c r="H7" s="5">
        <f t="shared" si="0"/>
        <v>970</v>
      </c>
      <c r="I7" s="2">
        <v>44</v>
      </c>
      <c r="J7" s="2" t="str">
        <f t="shared" si="1"/>
        <v>2010</v>
      </c>
      <c r="K7" s="2">
        <v>0</v>
      </c>
      <c r="L7" s="2">
        <f t="shared" si="2"/>
        <v>0</v>
      </c>
      <c r="M7" s="23">
        <v>0</v>
      </c>
      <c r="N7" s="23">
        <v>0</v>
      </c>
      <c r="O7" s="23">
        <v>0</v>
      </c>
      <c r="P7" s="23">
        <v>0</v>
      </c>
      <c r="Q7" s="23">
        <v>0</v>
      </c>
    </row>
    <row r="8" spans="1:17" x14ac:dyDescent="0.2">
      <c r="A8" t="s">
        <v>247</v>
      </c>
      <c r="B8" t="s">
        <v>18</v>
      </c>
      <c r="C8" t="s">
        <v>19</v>
      </c>
      <c r="D8" t="s">
        <v>20</v>
      </c>
      <c r="E8" t="s">
        <v>106</v>
      </c>
      <c r="F8" t="s">
        <v>89</v>
      </c>
      <c r="G8" t="s">
        <v>20</v>
      </c>
      <c r="H8" s="5">
        <f t="shared" si="0"/>
        <v>793</v>
      </c>
      <c r="I8" s="2">
        <v>68</v>
      </c>
      <c r="J8" s="2" t="str">
        <f t="shared" si="1"/>
        <v>2008</v>
      </c>
      <c r="K8" s="2">
        <v>0</v>
      </c>
      <c r="L8" s="2">
        <f t="shared" si="2"/>
        <v>2</v>
      </c>
      <c r="M8" s="23">
        <v>1</v>
      </c>
      <c r="N8" s="23">
        <v>0</v>
      </c>
      <c r="O8" s="23">
        <v>0</v>
      </c>
      <c r="P8" s="23">
        <v>0</v>
      </c>
      <c r="Q8" s="23">
        <v>1</v>
      </c>
    </row>
    <row r="9" spans="1:17" x14ac:dyDescent="0.2">
      <c r="A9" t="s">
        <v>305</v>
      </c>
      <c r="B9" t="s">
        <v>18</v>
      </c>
      <c r="C9" t="s">
        <v>19</v>
      </c>
      <c r="D9" t="s">
        <v>20</v>
      </c>
      <c r="E9" t="s">
        <v>106</v>
      </c>
      <c r="F9" t="s">
        <v>19</v>
      </c>
      <c r="G9" t="s">
        <v>53</v>
      </c>
      <c r="H9" s="5">
        <f t="shared" si="0"/>
        <v>125</v>
      </c>
      <c r="I9" s="2">
        <v>69</v>
      </c>
      <c r="J9" s="2" t="str">
        <f t="shared" si="1"/>
        <v>2006</v>
      </c>
      <c r="K9" s="2">
        <v>0</v>
      </c>
      <c r="L9" s="2">
        <f t="shared" si="2"/>
        <v>2</v>
      </c>
      <c r="M9" s="23">
        <v>0</v>
      </c>
      <c r="N9" s="23">
        <v>1</v>
      </c>
      <c r="O9" s="23">
        <v>1</v>
      </c>
      <c r="P9" s="23">
        <v>0</v>
      </c>
      <c r="Q9" s="23">
        <v>0</v>
      </c>
    </row>
    <row r="10" spans="1:17" x14ac:dyDescent="0.2">
      <c r="A10" t="s">
        <v>102</v>
      </c>
      <c r="B10" t="s">
        <v>24</v>
      </c>
      <c r="C10" t="s">
        <v>20</v>
      </c>
      <c r="D10" t="s">
        <v>25</v>
      </c>
      <c r="E10" s="8" t="s">
        <v>103</v>
      </c>
      <c r="F10" t="s">
        <v>28</v>
      </c>
      <c r="G10" t="s">
        <v>25</v>
      </c>
      <c r="H10" s="5">
        <f t="shared" si="0"/>
        <v>491</v>
      </c>
      <c r="I10" s="2">
        <v>56</v>
      </c>
      <c r="J10" s="2" t="str">
        <f t="shared" si="1"/>
        <v>2012</v>
      </c>
      <c r="K10" s="2">
        <v>0</v>
      </c>
      <c r="L10" s="2">
        <f t="shared" si="2"/>
        <v>3</v>
      </c>
      <c r="M10" s="23">
        <v>0</v>
      </c>
      <c r="N10" s="23">
        <v>1</v>
      </c>
      <c r="O10" s="23">
        <v>1</v>
      </c>
      <c r="P10" s="23">
        <v>1</v>
      </c>
      <c r="Q10" s="23">
        <v>0</v>
      </c>
    </row>
    <row r="11" spans="1:17" x14ac:dyDescent="0.2">
      <c r="A11" t="s">
        <v>74</v>
      </c>
      <c r="B11" t="s">
        <v>18</v>
      </c>
      <c r="C11" t="s">
        <v>19</v>
      </c>
      <c r="D11" t="s">
        <v>20</v>
      </c>
      <c r="E11" t="s">
        <v>67</v>
      </c>
      <c r="F11" t="s">
        <v>19</v>
      </c>
      <c r="G11" t="s">
        <v>75</v>
      </c>
      <c r="H11" s="5">
        <f t="shared" si="0"/>
        <v>962</v>
      </c>
      <c r="I11" s="2">
        <v>52</v>
      </c>
      <c r="J11" s="2" t="str">
        <f t="shared" si="1"/>
        <v>2006</v>
      </c>
      <c r="K11" s="2">
        <v>1</v>
      </c>
      <c r="L11" s="2">
        <f t="shared" si="2"/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</row>
    <row r="12" spans="1:17" x14ac:dyDescent="0.2">
      <c r="A12" t="s">
        <v>102</v>
      </c>
      <c r="B12" t="s">
        <v>24</v>
      </c>
      <c r="C12" t="s">
        <v>20</v>
      </c>
      <c r="D12" t="s">
        <v>25</v>
      </c>
      <c r="E12" s="8" t="s">
        <v>58</v>
      </c>
      <c r="F12" t="s">
        <v>96</v>
      </c>
      <c r="G12" t="s">
        <v>28</v>
      </c>
      <c r="H12" s="5">
        <f t="shared" si="0"/>
        <v>476</v>
      </c>
      <c r="I12" s="2">
        <v>55</v>
      </c>
      <c r="J12" s="2" t="str">
        <f t="shared" si="1"/>
        <v>2011</v>
      </c>
      <c r="K12" s="2">
        <v>0</v>
      </c>
      <c r="L12" s="2">
        <f t="shared" si="2"/>
        <v>3</v>
      </c>
      <c r="M12" s="23">
        <v>0</v>
      </c>
      <c r="N12" s="23">
        <v>1</v>
      </c>
      <c r="O12" s="23">
        <v>1</v>
      </c>
      <c r="P12" s="23">
        <v>1</v>
      </c>
      <c r="Q12" s="23">
        <v>0</v>
      </c>
    </row>
    <row r="13" spans="1:17" x14ac:dyDescent="0.2">
      <c r="A13" t="s">
        <v>192</v>
      </c>
      <c r="B13" t="s">
        <v>18</v>
      </c>
      <c r="C13" t="s">
        <v>19</v>
      </c>
      <c r="D13" t="s">
        <v>20</v>
      </c>
      <c r="E13" s="8" t="s">
        <v>58</v>
      </c>
      <c r="F13" t="s">
        <v>19</v>
      </c>
      <c r="G13" t="s">
        <v>193</v>
      </c>
      <c r="H13" s="5">
        <f t="shared" si="0"/>
        <v>635</v>
      </c>
      <c r="I13" s="2">
        <v>44</v>
      </c>
      <c r="J13" s="2" t="str">
        <f t="shared" si="1"/>
        <v>2006</v>
      </c>
      <c r="K13" s="2">
        <v>0</v>
      </c>
      <c r="L13" s="2">
        <f t="shared" si="2"/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</row>
    <row r="14" spans="1:17" x14ac:dyDescent="0.2">
      <c r="A14" t="s">
        <v>241</v>
      </c>
      <c r="B14" t="s">
        <v>33</v>
      </c>
      <c r="C14" t="s">
        <v>34</v>
      </c>
      <c r="D14" t="s">
        <v>19</v>
      </c>
      <c r="E14" s="8" t="s">
        <v>58</v>
      </c>
      <c r="F14" t="s">
        <v>177</v>
      </c>
      <c r="G14" t="s">
        <v>19</v>
      </c>
      <c r="H14" s="5">
        <f t="shared" si="0"/>
        <v>291</v>
      </c>
      <c r="I14" s="2">
        <v>52</v>
      </c>
      <c r="J14" s="2" t="str">
        <f t="shared" si="1"/>
        <v>2005</v>
      </c>
      <c r="K14" s="2">
        <v>0</v>
      </c>
      <c r="L14" s="2">
        <f t="shared" si="2"/>
        <v>2</v>
      </c>
      <c r="M14" s="23">
        <v>0</v>
      </c>
      <c r="N14" s="23">
        <v>0</v>
      </c>
      <c r="O14" s="23">
        <v>1</v>
      </c>
      <c r="P14" s="23">
        <v>1</v>
      </c>
      <c r="Q14" s="23">
        <v>0</v>
      </c>
    </row>
    <row r="15" spans="1:17" x14ac:dyDescent="0.2">
      <c r="A15" t="s">
        <v>284</v>
      </c>
      <c r="B15" t="s">
        <v>18</v>
      </c>
      <c r="C15" t="s">
        <v>19</v>
      </c>
      <c r="D15" t="s">
        <v>20</v>
      </c>
      <c r="E15" s="8" t="s">
        <v>58</v>
      </c>
      <c r="F15" t="s">
        <v>149</v>
      </c>
      <c r="G15" t="s">
        <v>285</v>
      </c>
      <c r="H15" s="5">
        <f t="shared" si="0"/>
        <v>277</v>
      </c>
      <c r="I15" s="2">
        <v>43</v>
      </c>
      <c r="J15" s="2" t="str">
        <f t="shared" si="1"/>
        <v>2009</v>
      </c>
      <c r="K15" s="2">
        <v>1</v>
      </c>
      <c r="L15" s="2">
        <f t="shared" si="2"/>
        <v>3</v>
      </c>
      <c r="M15" s="23">
        <v>0</v>
      </c>
      <c r="N15" s="23">
        <v>1</v>
      </c>
      <c r="O15" s="23">
        <v>1</v>
      </c>
      <c r="P15" s="23">
        <v>1</v>
      </c>
      <c r="Q15" s="23">
        <v>0</v>
      </c>
    </row>
    <row r="16" spans="1:17" x14ac:dyDescent="0.2">
      <c r="A16" t="s">
        <v>154</v>
      </c>
      <c r="B16" t="s">
        <v>33</v>
      </c>
      <c r="C16" t="s">
        <v>34</v>
      </c>
      <c r="D16" t="s">
        <v>19</v>
      </c>
      <c r="E16" s="8" t="s">
        <v>65</v>
      </c>
      <c r="F16" t="s">
        <v>34</v>
      </c>
      <c r="G16" t="s">
        <v>68</v>
      </c>
      <c r="H16" s="5">
        <f t="shared" si="0"/>
        <v>667</v>
      </c>
      <c r="I16" s="2">
        <v>45</v>
      </c>
      <c r="J16" s="2" t="str">
        <f t="shared" si="1"/>
        <v>2000</v>
      </c>
      <c r="K16" s="2">
        <v>0</v>
      </c>
      <c r="L16" s="2">
        <f t="shared" si="2"/>
        <v>2</v>
      </c>
      <c r="M16" s="23">
        <v>0</v>
      </c>
      <c r="N16" s="23">
        <v>0</v>
      </c>
      <c r="O16" s="23">
        <v>1</v>
      </c>
      <c r="P16" s="23">
        <v>1</v>
      </c>
      <c r="Q16" s="23">
        <v>0</v>
      </c>
    </row>
    <row r="17" spans="1:17" x14ac:dyDescent="0.2">
      <c r="A17" t="s">
        <v>197</v>
      </c>
      <c r="B17" t="s">
        <v>24</v>
      </c>
      <c r="C17" t="s">
        <v>20</v>
      </c>
      <c r="D17" t="s">
        <v>25</v>
      </c>
      <c r="E17" s="8" t="s">
        <v>65</v>
      </c>
      <c r="F17" t="s">
        <v>20</v>
      </c>
      <c r="G17" t="s">
        <v>25</v>
      </c>
      <c r="H17" s="5">
        <f t="shared" si="0"/>
        <v>1461</v>
      </c>
      <c r="I17" s="2">
        <v>56</v>
      </c>
      <c r="J17" s="2" t="str">
        <f t="shared" si="1"/>
        <v>2010</v>
      </c>
      <c r="K17" s="2">
        <v>0</v>
      </c>
      <c r="L17" s="2">
        <f t="shared" si="2"/>
        <v>3</v>
      </c>
      <c r="M17" s="23">
        <v>1</v>
      </c>
      <c r="N17" s="23">
        <v>0</v>
      </c>
      <c r="O17" s="23">
        <v>1</v>
      </c>
      <c r="P17" s="23">
        <v>0</v>
      </c>
      <c r="Q17" s="23">
        <v>1</v>
      </c>
    </row>
    <row r="18" spans="1:17" x14ac:dyDescent="0.2">
      <c r="A18" t="s">
        <v>298</v>
      </c>
      <c r="B18" t="s">
        <v>18</v>
      </c>
      <c r="C18" t="s">
        <v>19</v>
      </c>
      <c r="D18" t="s">
        <v>20</v>
      </c>
      <c r="E18" s="8" t="s">
        <v>65</v>
      </c>
      <c r="F18" t="s">
        <v>91</v>
      </c>
      <c r="G18" t="s">
        <v>20</v>
      </c>
      <c r="H18" s="5">
        <f t="shared" si="0"/>
        <v>1081</v>
      </c>
      <c r="I18" s="2">
        <v>63</v>
      </c>
      <c r="J18" s="2" t="str">
        <f t="shared" si="1"/>
        <v>2007</v>
      </c>
      <c r="K18" s="2">
        <v>0</v>
      </c>
      <c r="L18" s="2">
        <f t="shared" si="2"/>
        <v>2</v>
      </c>
      <c r="M18" s="23">
        <v>0</v>
      </c>
      <c r="N18" s="23">
        <v>1</v>
      </c>
      <c r="O18" s="23">
        <v>1</v>
      </c>
      <c r="P18" s="23">
        <v>0</v>
      </c>
      <c r="Q18" s="23">
        <v>0</v>
      </c>
    </row>
    <row r="19" spans="1:17" x14ac:dyDescent="0.2">
      <c r="A19" t="s">
        <v>296</v>
      </c>
      <c r="B19" t="s">
        <v>18</v>
      </c>
      <c r="C19" t="s">
        <v>19</v>
      </c>
      <c r="D19" t="s">
        <v>20</v>
      </c>
      <c r="E19" s="8" t="s">
        <v>65</v>
      </c>
      <c r="F19" t="s">
        <v>19</v>
      </c>
      <c r="G19" t="s">
        <v>91</v>
      </c>
      <c r="H19" s="5">
        <f t="shared" si="0"/>
        <v>380</v>
      </c>
      <c r="I19" s="2">
        <v>49</v>
      </c>
      <c r="J19" s="2" t="str">
        <f t="shared" si="1"/>
        <v>2006</v>
      </c>
      <c r="K19" s="2">
        <v>1</v>
      </c>
      <c r="L19" s="2">
        <f t="shared" si="2"/>
        <v>1</v>
      </c>
      <c r="M19" s="23">
        <v>1</v>
      </c>
      <c r="N19" s="23">
        <v>0</v>
      </c>
      <c r="O19" s="23">
        <v>0</v>
      </c>
      <c r="P19" s="23">
        <v>0</v>
      </c>
      <c r="Q19" s="23">
        <v>0</v>
      </c>
    </row>
    <row r="20" spans="1:17" x14ac:dyDescent="0.2">
      <c r="A20" t="s">
        <v>231</v>
      </c>
      <c r="B20" t="s">
        <v>37</v>
      </c>
      <c r="C20" t="s">
        <v>15</v>
      </c>
      <c r="D20" t="s">
        <v>34</v>
      </c>
      <c r="E20" t="s">
        <v>101</v>
      </c>
      <c r="F20" t="s">
        <v>15</v>
      </c>
      <c r="G20" t="s">
        <v>56</v>
      </c>
      <c r="H20" s="5">
        <f t="shared" si="0"/>
        <v>932</v>
      </c>
      <c r="I20" s="2">
        <v>56</v>
      </c>
      <c r="J20" s="2" t="str">
        <f t="shared" si="1"/>
        <v>1994</v>
      </c>
      <c r="K20" s="2">
        <v>0</v>
      </c>
      <c r="L20" s="2">
        <f t="shared" si="2"/>
        <v>3</v>
      </c>
      <c r="M20" s="23">
        <v>1</v>
      </c>
      <c r="N20" s="23">
        <v>0</v>
      </c>
      <c r="O20" s="23">
        <v>1</v>
      </c>
      <c r="P20" s="23">
        <v>1</v>
      </c>
      <c r="Q20" s="23">
        <v>0</v>
      </c>
    </row>
    <row r="21" spans="1:17" x14ac:dyDescent="0.2">
      <c r="A21" t="s">
        <v>229</v>
      </c>
      <c r="B21" t="s">
        <v>33</v>
      </c>
      <c r="C21" t="s">
        <v>34</v>
      </c>
      <c r="D21" t="s">
        <v>19</v>
      </c>
      <c r="E21" t="s">
        <v>30</v>
      </c>
      <c r="F21" t="s">
        <v>34</v>
      </c>
      <c r="G21" t="s">
        <v>230</v>
      </c>
      <c r="H21" s="5">
        <f t="shared" si="0"/>
        <v>293</v>
      </c>
      <c r="I21" s="2">
        <v>34</v>
      </c>
      <c r="J21" s="2" t="str">
        <f t="shared" si="1"/>
        <v>2000</v>
      </c>
      <c r="K21" s="2">
        <v>0</v>
      </c>
      <c r="L21" s="2">
        <f t="shared" si="2"/>
        <v>2</v>
      </c>
      <c r="M21" s="23">
        <v>0</v>
      </c>
      <c r="N21" s="23">
        <v>0</v>
      </c>
      <c r="O21" s="23">
        <v>1</v>
      </c>
      <c r="P21" s="23">
        <v>1</v>
      </c>
      <c r="Q21" s="23">
        <v>0</v>
      </c>
    </row>
    <row r="22" spans="1:17" x14ac:dyDescent="0.2">
      <c r="A22" t="s">
        <v>246</v>
      </c>
      <c r="B22" t="s">
        <v>24</v>
      </c>
      <c r="C22" t="s">
        <v>20</v>
      </c>
      <c r="D22" t="s">
        <v>25</v>
      </c>
      <c r="E22" t="s">
        <v>30</v>
      </c>
      <c r="F22" t="s">
        <v>28</v>
      </c>
      <c r="G22" t="s">
        <v>25</v>
      </c>
      <c r="H22" s="5">
        <f t="shared" si="0"/>
        <v>491</v>
      </c>
      <c r="I22" s="2">
        <v>51</v>
      </c>
      <c r="J22" s="2" t="str">
        <f t="shared" si="1"/>
        <v>2012</v>
      </c>
      <c r="K22" s="2">
        <v>0</v>
      </c>
      <c r="L22" s="2">
        <f t="shared" si="2"/>
        <v>1</v>
      </c>
      <c r="M22" s="23">
        <v>0</v>
      </c>
      <c r="N22" s="23">
        <v>0</v>
      </c>
      <c r="O22" s="23">
        <v>0</v>
      </c>
      <c r="P22" s="23">
        <v>0</v>
      </c>
      <c r="Q22" s="23">
        <v>1</v>
      </c>
    </row>
    <row r="23" spans="1:17" x14ac:dyDescent="0.2">
      <c r="A23" t="s">
        <v>233</v>
      </c>
      <c r="B23" t="s">
        <v>24</v>
      </c>
      <c r="C23" t="s">
        <v>20</v>
      </c>
      <c r="D23" t="s">
        <v>25</v>
      </c>
      <c r="E23" t="s">
        <v>30</v>
      </c>
      <c r="F23" t="s">
        <v>20</v>
      </c>
      <c r="G23" t="s">
        <v>28</v>
      </c>
      <c r="H23" s="5">
        <f t="shared" si="0"/>
        <v>970</v>
      </c>
      <c r="I23" s="2">
        <v>54</v>
      </c>
      <c r="J23" s="2" t="str">
        <f t="shared" si="1"/>
        <v>2010</v>
      </c>
      <c r="K23" s="2">
        <v>1</v>
      </c>
      <c r="L23" s="2">
        <f t="shared" si="2"/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</row>
    <row r="24" spans="1:17" x14ac:dyDescent="0.2">
      <c r="A24" t="s">
        <v>114</v>
      </c>
      <c r="B24" t="s">
        <v>33</v>
      </c>
      <c r="C24" t="s">
        <v>34</v>
      </c>
      <c r="D24" t="s">
        <v>19</v>
      </c>
      <c r="E24" t="s">
        <v>117</v>
      </c>
      <c r="F24" t="s">
        <v>34</v>
      </c>
      <c r="G24" t="s">
        <v>116</v>
      </c>
      <c r="H24" s="5">
        <f t="shared" si="0"/>
        <v>465</v>
      </c>
      <c r="I24" s="2">
        <v>40</v>
      </c>
      <c r="J24" s="2" t="str">
        <f t="shared" si="1"/>
        <v>2000</v>
      </c>
      <c r="K24" s="2">
        <v>0</v>
      </c>
      <c r="L24" s="2">
        <f t="shared" si="2"/>
        <v>1</v>
      </c>
      <c r="M24" s="23">
        <v>1</v>
      </c>
      <c r="N24" s="23">
        <v>0</v>
      </c>
      <c r="O24" s="23">
        <v>0</v>
      </c>
      <c r="P24" s="23">
        <v>0</v>
      </c>
      <c r="Q24" s="23">
        <v>0</v>
      </c>
    </row>
    <row r="25" spans="1:17" x14ac:dyDescent="0.2">
      <c r="A25" t="s">
        <v>154</v>
      </c>
      <c r="B25" t="s">
        <v>37</v>
      </c>
      <c r="C25" t="s">
        <v>15</v>
      </c>
      <c r="D25" t="s">
        <v>34</v>
      </c>
      <c r="E25" t="s">
        <v>117</v>
      </c>
      <c r="F25" t="s">
        <v>155</v>
      </c>
      <c r="G25" t="s">
        <v>62</v>
      </c>
      <c r="H25" s="5">
        <f t="shared" si="0"/>
        <v>212</v>
      </c>
      <c r="I25" s="2">
        <v>43</v>
      </c>
      <c r="J25" s="2" t="str">
        <f t="shared" si="1"/>
        <v>1998</v>
      </c>
      <c r="K25" s="2">
        <v>0</v>
      </c>
      <c r="L25" s="2">
        <f t="shared" si="2"/>
        <v>1</v>
      </c>
      <c r="M25" s="23">
        <v>0</v>
      </c>
      <c r="N25" s="23">
        <v>0</v>
      </c>
      <c r="O25" s="23">
        <v>0</v>
      </c>
      <c r="P25" s="23">
        <v>1</v>
      </c>
      <c r="Q25" s="23">
        <v>0</v>
      </c>
    </row>
    <row r="26" spans="1:17" x14ac:dyDescent="0.2">
      <c r="A26" t="s">
        <v>281</v>
      </c>
      <c r="B26" t="s">
        <v>13</v>
      </c>
      <c r="C26" t="s">
        <v>14</v>
      </c>
      <c r="D26" t="s">
        <v>15</v>
      </c>
      <c r="E26" t="s">
        <v>117</v>
      </c>
      <c r="F26" t="s">
        <v>14</v>
      </c>
      <c r="G26" t="s">
        <v>15</v>
      </c>
      <c r="H26" s="5">
        <f t="shared" si="0"/>
        <v>1461</v>
      </c>
      <c r="I26" s="2">
        <v>51</v>
      </c>
      <c r="J26" s="2" t="str">
        <f t="shared" si="1"/>
        <v>1990</v>
      </c>
      <c r="K26" s="2">
        <v>0</v>
      </c>
      <c r="L26" s="2">
        <f t="shared" si="2"/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</row>
    <row r="27" spans="1:17" x14ac:dyDescent="0.2">
      <c r="A27" t="s">
        <v>110</v>
      </c>
      <c r="B27" t="s">
        <v>24</v>
      </c>
      <c r="C27" t="s">
        <v>20</v>
      </c>
      <c r="D27" t="s">
        <v>25</v>
      </c>
      <c r="E27" t="s">
        <v>41</v>
      </c>
      <c r="F27" t="s">
        <v>20</v>
      </c>
      <c r="G27" t="s">
        <v>111</v>
      </c>
      <c r="H27" s="5">
        <f t="shared" si="0"/>
        <v>1183</v>
      </c>
      <c r="I27" s="2">
        <v>39</v>
      </c>
      <c r="J27" s="2" t="str">
        <f t="shared" si="1"/>
        <v>2010</v>
      </c>
      <c r="K27" s="2">
        <v>0</v>
      </c>
      <c r="L27" s="2">
        <f t="shared" si="2"/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</row>
    <row r="28" spans="1:17" x14ac:dyDescent="0.2">
      <c r="A28" t="s">
        <v>263</v>
      </c>
      <c r="B28" t="s">
        <v>37</v>
      </c>
      <c r="C28" t="s">
        <v>15</v>
      </c>
      <c r="D28" t="s">
        <v>34</v>
      </c>
      <c r="E28" t="s">
        <v>16</v>
      </c>
      <c r="F28" t="s">
        <v>15</v>
      </c>
      <c r="G28" t="s">
        <v>264</v>
      </c>
      <c r="H28" s="5">
        <f t="shared" si="0"/>
        <v>1359</v>
      </c>
      <c r="I28" s="2">
        <v>36</v>
      </c>
      <c r="J28" s="2" t="str">
        <f t="shared" si="1"/>
        <v>1994</v>
      </c>
      <c r="K28" s="2">
        <v>0</v>
      </c>
      <c r="L28" s="2">
        <f t="shared" si="2"/>
        <v>2</v>
      </c>
      <c r="M28" s="23">
        <v>0</v>
      </c>
      <c r="N28" s="23">
        <v>0</v>
      </c>
      <c r="O28" s="23">
        <v>1</v>
      </c>
      <c r="P28" s="23">
        <v>1</v>
      </c>
      <c r="Q28" s="23">
        <v>0</v>
      </c>
    </row>
    <row r="29" spans="1:17" x14ac:dyDescent="0.2">
      <c r="A29" t="s">
        <v>23</v>
      </c>
      <c r="B29" t="s">
        <v>24</v>
      </c>
      <c r="C29" t="s">
        <v>20</v>
      </c>
      <c r="D29" t="s">
        <v>25</v>
      </c>
      <c r="E29" t="s">
        <v>26</v>
      </c>
      <c r="F29" t="s">
        <v>27</v>
      </c>
      <c r="G29" t="s">
        <v>28</v>
      </c>
      <c r="H29" s="5">
        <f t="shared" si="0"/>
        <v>659</v>
      </c>
      <c r="I29" s="2">
        <v>54</v>
      </c>
      <c r="J29" s="2" t="str">
        <f t="shared" si="1"/>
        <v>2011</v>
      </c>
      <c r="K29" s="2">
        <v>0</v>
      </c>
      <c r="L29" s="2">
        <f t="shared" si="2"/>
        <v>3</v>
      </c>
      <c r="M29" s="23">
        <v>0</v>
      </c>
      <c r="N29" s="23">
        <v>1</v>
      </c>
      <c r="O29" s="23">
        <v>1</v>
      </c>
      <c r="P29" s="23">
        <v>1</v>
      </c>
      <c r="Q29" s="23">
        <v>0</v>
      </c>
    </row>
    <row r="30" spans="1:17" x14ac:dyDescent="0.2">
      <c r="A30" t="s">
        <v>159</v>
      </c>
      <c r="B30" t="s">
        <v>37</v>
      </c>
      <c r="C30" t="s">
        <v>15</v>
      </c>
      <c r="D30" t="s">
        <v>34</v>
      </c>
      <c r="E30" t="s">
        <v>26</v>
      </c>
      <c r="F30" t="s">
        <v>62</v>
      </c>
      <c r="G30" t="s">
        <v>63</v>
      </c>
      <c r="H30" s="5">
        <f t="shared" si="0"/>
        <v>325</v>
      </c>
      <c r="I30" s="2">
        <v>69</v>
      </c>
      <c r="J30" s="2" t="str">
        <f t="shared" si="1"/>
        <v>1998</v>
      </c>
      <c r="K30" s="2">
        <v>0</v>
      </c>
      <c r="L30" s="2">
        <f t="shared" si="2"/>
        <v>1</v>
      </c>
      <c r="M30" s="23">
        <v>1</v>
      </c>
      <c r="N30" s="23">
        <v>0</v>
      </c>
      <c r="O30" s="23">
        <v>0</v>
      </c>
      <c r="P30" s="23">
        <v>0</v>
      </c>
      <c r="Q30" s="23">
        <v>0</v>
      </c>
    </row>
    <row r="31" spans="1:17" x14ac:dyDescent="0.2">
      <c r="A31" t="s">
        <v>170</v>
      </c>
      <c r="B31" t="s">
        <v>24</v>
      </c>
      <c r="C31" t="s">
        <v>20</v>
      </c>
      <c r="D31" t="s">
        <v>25</v>
      </c>
      <c r="E31" t="s">
        <v>26</v>
      </c>
      <c r="F31" t="s">
        <v>28</v>
      </c>
      <c r="G31" t="s">
        <v>25</v>
      </c>
      <c r="H31" s="5">
        <f t="shared" si="0"/>
        <v>491</v>
      </c>
      <c r="I31" s="2">
        <v>47</v>
      </c>
      <c r="J31" s="2" t="str">
        <f t="shared" si="1"/>
        <v>2012</v>
      </c>
      <c r="K31" s="2">
        <v>0</v>
      </c>
      <c r="L31" s="2">
        <f t="shared" si="2"/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</row>
    <row r="32" spans="1:17" x14ac:dyDescent="0.2">
      <c r="A32" t="s">
        <v>247</v>
      </c>
      <c r="B32" t="s">
        <v>37</v>
      </c>
      <c r="C32" t="s">
        <v>15</v>
      </c>
      <c r="D32" t="s">
        <v>34</v>
      </c>
      <c r="E32" t="s">
        <v>26</v>
      </c>
      <c r="F32" t="s">
        <v>15</v>
      </c>
      <c r="G32" t="s">
        <v>248</v>
      </c>
      <c r="H32" s="5">
        <f t="shared" si="0"/>
        <v>1407</v>
      </c>
      <c r="I32" s="2">
        <v>55</v>
      </c>
      <c r="J32" s="2" t="str">
        <f t="shared" si="1"/>
        <v>1994</v>
      </c>
      <c r="K32" s="2">
        <v>0</v>
      </c>
      <c r="L32" s="2">
        <f t="shared" si="2"/>
        <v>1</v>
      </c>
      <c r="M32" s="23">
        <v>0</v>
      </c>
      <c r="N32" s="23">
        <v>0</v>
      </c>
      <c r="O32" s="23">
        <v>0</v>
      </c>
      <c r="P32" s="23">
        <v>0</v>
      </c>
      <c r="Q32" s="23">
        <v>1</v>
      </c>
    </row>
    <row r="33" spans="1:17" x14ac:dyDescent="0.2">
      <c r="A33" t="s">
        <v>247</v>
      </c>
      <c r="B33" t="s">
        <v>37</v>
      </c>
      <c r="C33" t="s">
        <v>15</v>
      </c>
      <c r="D33" t="s">
        <v>34</v>
      </c>
      <c r="E33" t="s">
        <v>26</v>
      </c>
      <c r="F33" t="s">
        <v>63</v>
      </c>
      <c r="G33" t="s">
        <v>34</v>
      </c>
      <c r="H33" s="5">
        <f t="shared" si="0"/>
        <v>263</v>
      </c>
      <c r="I33" s="2">
        <v>60</v>
      </c>
      <c r="J33" s="2" t="str">
        <f t="shared" si="1"/>
        <v>1999</v>
      </c>
      <c r="K33" s="2">
        <v>0</v>
      </c>
      <c r="L33" s="2">
        <f t="shared" si="2"/>
        <v>1</v>
      </c>
      <c r="M33" s="23">
        <v>0</v>
      </c>
      <c r="N33" s="23">
        <v>0</v>
      </c>
      <c r="O33" s="23">
        <v>0</v>
      </c>
      <c r="P33" s="23">
        <v>0</v>
      </c>
      <c r="Q33" s="23">
        <v>1</v>
      </c>
    </row>
    <row r="34" spans="1:17" x14ac:dyDescent="0.2">
      <c r="A34" t="s">
        <v>260</v>
      </c>
      <c r="B34" t="s">
        <v>24</v>
      </c>
      <c r="C34" t="s">
        <v>20</v>
      </c>
      <c r="D34" t="s">
        <v>25</v>
      </c>
      <c r="E34" t="s">
        <v>261</v>
      </c>
      <c r="F34" t="s">
        <v>262</v>
      </c>
      <c r="G34" t="s">
        <v>25</v>
      </c>
      <c r="H34" s="5">
        <f t="shared" si="0"/>
        <v>117</v>
      </c>
      <c r="I34" s="2">
        <v>59</v>
      </c>
      <c r="J34" s="2" t="str">
        <f t="shared" si="1"/>
        <v>2013</v>
      </c>
      <c r="K34" s="2">
        <v>0</v>
      </c>
      <c r="L34" s="2">
        <f t="shared" si="2"/>
        <v>1</v>
      </c>
      <c r="M34" s="23">
        <v>0</v>
      </c>
      <c r="N34" s="23">
        <v>0</v>
      </c>
      <c r="O34" s="23">
        <v>0</v>
      </c>
      <c r="P34" s="23">
        <v>0</v>
      </c>
      <c r="Q34" s="23">
        <v>1</v>
      </c>
    </row>
    <row r="35" spans="1:17" x14ac:dyDescent="0.2">
      <c r="A35" t="s">
        <v>114</v>
      </c>
      <c r="B35" t="s">
        <v>33</v>
      </c>
      <c r="C35" t="s">
        <v>34</v>
      </c>
      <c r="D35" t="s">
        <v>19</v>
      </c>
      <c r="E35" t="s">
        <v>52</v>
      </c>
      <c r="F35" t="s">
        <v>34</v>
      </c>
      <c r="G35" t="s">
        <v>116</v>
      </c>
      <c r="H35" s="5">
        <f t="shared" si="0"/>
        <v>465</v>
      </c>
      <c r="I35" s="2">
        <v>40</v>
      </c>
      <c r="J35" s="2" t="str">
        <f t="shared" si="1"/>
        <v>2000</v>
      </c>
      <c r="K35" s="2">
        <v>0</v>
      </c>
      <c r="L35" s="2">
        <f t="shared" si="2"/>
        <v>1</v>
      </c>
      <c r="M35" s="23">
        <v>1</v>
      </c>
      <c r="N35" s="23">
        <v>0</v>
      </c>
      <c r="O35" s="23">
        <v>0</v>
      </c>
      <c r="P35" s="23">
        <v>0</v>
      </c>
      <c r="Q35" s="23">
        <v>0</v>
      </c>
    </row>
    <row r="36" spans="1:17" x14ac:dyDescent="0.2">
      <c r="A36" t="s">
        <v>154</v>
      </c>
      <c r="B36" t="s">
        <v>37</v>
      </c>
      <c r="C36" t="s">
        <v>15</v>
      </c>
      <c r="D36" t="s">
        <v>34</v>
      </c>
      <c r="E36" t="s">
        <v>52</v>
      </c>
      <c r="F36" t="s">
        <v>15</v>
      </c>
      <c r="G36" t="s">
        <v>62</v>
      </c>
      <c r="H36" s="5">
        <f t="shared" si="0"/>
        <v>1604</v>
      </c>
      <c r="I36" s="2">
        <v>39</v>
      </c>
      <c r="J36" s="2" t="str">
        <f t="shared" si="1"/>
        <v>1994</v>
      </c>
      <c r="K36" s="2">
        <v>0</v>
      </c>
      <c r="L36" s="2">
        <f t="shared" si="2"/>
        <v>1</v>
      </c>
      <c r="M36" s="23">
        <v>0</v>
      </c>
      <c r="N36" s="23">
        <v>0</v>
      </c>
      <c r="O36" s="23">
        <v>0</v>
      </c>
      <c r="P36" s="23">
        <v>1</v>
      </c>
      <c r="Q36" s="23">
        <v>0</v>
      </c>
    </row>
    <row r="37" spans="1:17" x14ac:dyDescent="0.2">
      <c r="A37" t="s">
        <v>209</v>
      </c>
      <c r="B37" t="s">
        <v>13</v>
      </c>
      <c r="C37" t="s">
        <v>14</v>
      </c>
      <c r="D37" t="s">
        <v>15</v>
      </c>
      <c r="E37" t="s">
        <v>52</v>
      </c>
      <c r="F37" t="s">
        <v>61</v>
      </c>
      <c r="G37" t="s">
        <v>210</v>
      </c>
      <c r="H37" s="5">
        <f t="shared" si="0"/>
        <v>444</v>
      </c>
      <c r="I37" s="2">
        <v>38</v>
      </c>
      <c r="J37" s="2" t="str">
        <f t="shared" si="1"/>
        <v>1992</v>
      </c>
      <c r="K37" s="2">
        <v>0</v>
      </c>
      <c r="L37" s="2">
        <f t="shared" si="2"/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</row>
    <row r="38" spans="1:17" x14ac:dyDescent="0.2">
      <c r="A38" t="s">
        <v>228</v>
      </c>
      <c r="B38" t="s">
        <v>13</v>
      </c>
      <c r="C38" t="s">
        <v>14</v>
      </c>
      <c r="D38" t="s">
        <v>15</v>
      </c>
      <c r="E38" t="s">
        <v>52</v>
      </c>
      <c r="F38" t="s">
        <v>14</v>
      </c>
      <c r="G38" t="s">
        <v>61</v>
      </c>
      <c r="H38" s="5">
        <f t="shared" si="0"/>
        <v>932</v>
      </c>
      <c r="I38" s="2">
        <v>39</v>
      </c>
      <c r="J38" s="2" t="str">
        <f t="shared" si="1"/>
        <v>1990</v>
      </c>
      <c r="K38" s="2">
        <v>0</v>
      </c>
      <c r="L38" s="2">
        <f t="shared" si="2"/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</row>
    <row r="39" spans="1:17" x14ac:dyDescent="0.2">
      <c r="A39" t="s">
        <v>281</v>
      </c>
      <c r="B39" t="s">
        <v>13</v>
      </c>
      <c r="C39" t="s">
        <v>14</v>
      </c>
      <c r="D39" t="s">
        <v>15</v>
      </c>
      <c r="E39" t="s">
        <v>52</v>
      </c>
      <c r="F39" t="s">
        <v>282</v>
      </c>
      <c r="G39" t="s">
        <v>15</v>
      </c>
      <c r="H39" s="5">
        <f t="shared" si="0"/>
        <v>86</v>
      </c>
      <c r="I39" s="2">
        <v>55</v>
      </c>
      <c r="J39" s="2" t="str">
        <f t="shared" si="1"/>
        <v>1993</v>
      </c>
      <c r="K39" s="2">
        <v>0</v>
      </c>
      <c r="L39" s="2">
        <f t="shared" si="2"/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</row>
    <row r="40" spans="1:17" x14ac:dyDescent="0.2">
      <c r="A40" t="s">
        <v>147</v>
      </c>
      <c r="B40" t="s">
        <v>24</v>
      </c>
      <c r="C40" t="s">
        <v>20</v>
      </c>
      <c r="D40" t="s">
        <v>25</v>
      </c>
      <c r="E40" t="s">
        <v>120</v>
      </c>
      <c r="F40" t="s">
        <v>20</v>
      </c>
      <c r="G40" t="s">
        <v>96</v>
      </c>
      <c r="H40" s="5">
        <f t="shared" si="0"/>
        <v>494</v>
      </c>
      <c r="I40" s="2">
        <v>54</v>
      </c>
      <c r="J40" s="2" t="str">
        <f t="shared" si="1"/>
        <v>2010</v>
      </c>
      <c r="K40" s="2">
        <v>0</v>
      </c>
      <c r="L40" s="2">
        <f t="shared" si="2"/>
        <v>3</v>
      </c>
      <c r="M40" s="23">
        <v>0</v>
      </c>
      <c r="N40" s="23">
        <v>0</v>
      </c>
      <c r="O40" s="23">
        <v>1</v>
      </c>
      <c r="P40" s="23">
        <v>1</v>
      </c>
      <c r="Q40" s="23">
        <v>1</v>
      </c>
    </row>
    <row r="41" spans="1:17" x14ac:dyDescent="0.2">
      <c r="A41" t="s">
        <v>54</v>
      </c>
      <c r="B41" t="s">
        <v>37</v>
      </c>
      <c r="C41" t="s">
        <v>15</v>
      </c>
      <c r="D41" t="s">
        <v>34</v>
      </c>
      <c r="E41" t="s">
        <v>55</v>
      </c>
      <c r="F41" t="s">
        <v>56</v>
      </c>
      <c r="G41" t="s">
        <v>34</v>
      </c>
      <c r="H41" s="5">
        <f t="shared" si="0"/>
        <v>1260</v>
      </c>
      <c r="I41" s="2">
        <v>44</v>
      </c>
      <c r="J41" s="2" t="str">
        <f t="shared" si="1"/>
        <v>1996</v>
      </c>
      <c r="K41" s="2">
        <v>0</v>
      </c>
      <c r="L41" s="2">
        <f t="shared" si="2"/>
        <v>3</v>
      </c>
      <c r="M41" s="23">
        <v>1</v>
      </c>
      <c r="N41" s="23">
        <v>0</v>
      </c>
      <c r="O41" s="23">
        <v>1</v>
      </c>
      <c r="P41" s="23">
        <v>1</v>
      </c>
      <c r="Q41" s="23">
        <v>0</v>
      </c>
    </row>
    <row r="42" spans="1:17" x14ac:dyDescent="0.2">
      <c r="A42" t="s">
        <v>95</v>
      </c>
      <c r="B42" t="s">
        <v>24</v>
      </c>
      <c r="C42" t="s">
        <v>20</v>
      </c>
      <c r="D42" t="s">
        <v>25</v>
      </c>
      <c r="E42" t="s">
        <v>55</v>
      </c>
      <c r="F42" t="s">
        <v>96</v>
      </c>
      <c r="G42" t="s">
        <v>80</v>
      </c>
      <c r="H42" s="5">
        <f t="shared" si="0"/>
        <v>164</v>
      </c>
      <c r="I42" s="2">
        <v>42</v>
      </c>
      <c r="J42" s="2" t="str">
        <f t="shared" si="1"/>
        <v>2011</v>
      </c>
      <c r="K42" s="2">
        <v>0</v>
      </c>
      <c r="L42" s="2">
        <f t="shared" si="2"/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</row>
    <row r="43" spans="1:17" x14ac:dyDescent="0.2">
      <c r="A43" t="s">
        <v>191</v>
      </c>
      <c r="B43" t="s">
        <v>13</v>
      </c>
      <c r="C43" t="s">
        <v>14</v>
      </c>
      <c r="D43" t="s">
        <v>15</v>
      </c>
      <c r="E43" t="s">
        <v>55</v>
      </c>
      <c r="F43" t="s">
        <v>14</v>
      </c>
      <c r="G43" t="s">
        <v>61</v>
      </c>
      <c r="H43" s="5">
        <f t="shared" si="0"/>
        <v>932</v>
      </c>
      <c r="I43" s="2">
        <v>52</v>
      </c>
      <c r="J43" s="2" t="str">
        <f t="shared" si="1"/>
        <v>1990</v>
      </c>
      <c r="K43" s="2">
        <v>0</v>
      </c>
      <c r="L43" s="2">
        <f t="shared" si="2"/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</row>
    <row r="44" spans="1:17" x14ac:dyDescent="0.2">
      <c r="A44" t="s">
        <v>199</v>
      </c>
      <c r="B44" t="s">
        <v>24</v>
      </c>
      <c r="C44" t="s">
        <v>20</v>
      </c>
      <c r="D44" t="s">
        <v>25</v>
      </c>
      <c r="E44" t="s">
        <v>55</v>
      </c>
      <c r="F44" t="s">
        <v>20</v>
      </c>
      <c r="G44" t="s">
        <v>96</v>
      </c>
      <c r="H44" s="5">
        <f t="shared" si="0"/>
        <v>494</v>
      </c>
      <c r="I44" s="2">
        <v>56</v>
      </c>
      <c r="J44" s="2" t="str">
        <f t="shared" si="1"/>
        <v>2010</v>
      </c>
      <c r="K44" s="2">
        <v>0</v>
      </c>
      <c r="L44" s="2">
        <f t="shared" si="2"/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</row>
    <row r="45" spans="1:17" x14ac:dyDescent="0.2">
      <c r="A45" t="s">
        <v>70</v>
      </c>
      <c r="B45" t="s">
        <v>33</v>
      </c>
      <c r="C45" t="s">
        <v>34</v>
      </c>
      <c r="D45" t="s">
        <v>19</v>
      </c>
      <c r="E45" t="s">
        <v>55</v>
      </c>
      <c r="F45" t="s">
        <v>34</v>
      </c>
      <c r="G45" t="s">
        <v>69</v>
      </c>
      <c r="H45" s="5">
        <f t="shared" si="0"/>
        <v>1087</v>
      </c>
      <c r="I45" s="2">
        <v>50</v>
      </c>
      <c r="J45" s="2" t="str">
        <f t="shared" si="1"/>
        <v>2000</v>
      </c>
      <c r="K45" s="2">
        <v>1</v>
      </c>
      <c r="L45" s="2">
        <f t="shared" si="2"/>
        <v>1</v>
      </c>
      <c r="M45" s="23">
        <v>0</v>
      </c>
      <c r="N45" s="23">
        <v>1</v>
      </c>
      <c r="O45" s="23">
        <v>0</v>
      </c>
      <c r="P45" s="23">
        <v>0</v>
      </c>
      <c r="Q45" s="23">
        <v>0</v>
      </c>
    </row>
    <row r="46" spans="1:17" x14ac:dyDescent="0.2">
      <c r="A46" t="s">
        <v>184</v>
      </c>
      <c r="B46" t="s">
        <v>18</v>
      </c>
      <c r="C46" t="s">
        <v>19</v>
      </c>
      <c r="D46" t="s">
        <v>20</v>
      </c>
      <c r="E46" t="s">
        <v>55</v>
      </c>
      <c r="F46" t="s">
        <v>185</v>
      </c>
      <c r="G46" t="s">
        <v>20</v>
      </c>
      <c r="H46" s="5">
        <f t="shared" si="0"/>
        <v>692</v>
      </c>
      <c r="I46" s="2">
        <v>67</v>
      </c>
      <c r="J46" s="2" t="str">
        <f t="shared" si="1"/>
        <v>2008</v>
      </c>
      <c r="K46" s="2">
        <v>1</v>
      </c>
      <c r="L46" s="2">
        <f t="shared" si="2"/>
        <v>1</v>
      </c>
      <c r="M46" s="23">
        <v>0</v>
      </c>
      <c r="N46" s="23">
        <v>0</v>
      </c>
      <c r="O46" s="23">
        <v>1</v>
      </c>
      <c r="P46" s="23">
        <v>0</v>
      </c>
      <c r="Q46" s="23">
        <v>0</v>
      </c>
    </row>
    <row r="47" spans="1:17" x14ac:dyDescent="0.2">
      <c r="A47" t="s">
        <v>269</v>
      </c>
      <c r="B47" t="s">
        <v>24</v>
      </c>
      <c r="C47" t="s">
        <v>20</v>
      </c>
      <c r="D47" t="s">
        <v>25</v>
      </c>
      <c r="E47" t="s">
        <v>55</v>
      </c>
      <c r="F47" t="s">
        <v>270</v>
      </c>
      <c r="G47" t="s">
        <v>25</v>
      </c>
      <c r="H47" s="5">
        <f t="shared" si="0"/>
        <v>323</v>
      </c>
      <c r="I47" s="2">
        <v>43</v>
      </c>
      <c r="J47" s="2" t="str">
        <f t="shared" si="1"/>
        <v>2013</v>
      </c>
      <c r="K47" s="2">
        <v>1</v>
      </c>
      <c r="L47" s="2">
        <f t="shared" si="2"/>
        <v>1</v>
      </c>
      <c r="M47" s="23">
        <v>0</v>
      </c>
      <c r="N47" s="23">
        <v>0</v>
      </c>
      <c r="O47" s="23">
        <v>0</v>
      </c>
      <c r="P47" s="23">
        <v>0</v>
      </c>
      <c r="Q47" s="23">
        <v>1</v>
      </c>
    </row>
    <row r="48" spans="1:17" x14ac:dyDescent="0.2">
      <c r="A48" t="s">
        <v>97</v>
      </c>
      <c r="B48" t="s">
        <v>24</v>
      </c>
      <c r="C48" t="s">
        <v>20</v>
      </c>
      <c r="D48" t="s">
        <v>25</v>
      </c>
      <c r="E48" t="s">
        <v>98</v>
      </c>
      <c r="F48" t="s">
        <v>99</v>
      </c>
      <c r="G48" t="s">
        <v>25</v>
      </c>
      <c r="H48" s="5">
        <f t="shared" si="0"/>
        <v>707</v>
      </c>
      <c r="I48" s="2">
        <v>59</v>
      </c>
      <c r="J48" s="2" t="str">
        <f t="shared" si="1"/>
        <v>2012</v>
      </c>
      <c r="K48" s="2">
        <v>0</v>
      </c>
      <c r="L48" s="2">
        <f t="shared" si="2"/>
        <v>1</v>
      </c>
      <c r="M48" s="23">
        <v>0</v>
      </c>
      <c r="N48" s="23">
        <v>0</v>
      </c>
      <c r="O48" s="23">
        <v>0</v>
      </c>
      <c r="P48" s="23">
        <v>0</v>
      </c>
      <c r="Q48" s="23">
        <v>1</v>
      </c>
    </row>
    <row r="49" spans="1:17" x14ac:dyDescent="0.2">
      <c r="A49" t="s">
        <v>95</v>
      </c>
      <c r="B49" t="s">
        <v>24</v>
      </c>
      <c r="C49" t="s">
        <v>20</v>
      </c>
      <c r="D49" t="s">
        <v>25</v>
      </c>
      <c r="E49" t="s">
        <v>38</v>
      </c>
      <c r="F49" t="s">
        <v>20</v>
      </c>
      <c r="G49" t="s">
        <v>96</v>
      </c>
      <c r="H49" s="5">
        <f t="shared" si="0"/>
        <v>494</v>
      </c>
      <c r="I49" s="2">
        <v>40</v>
      </c>
      <c r="J49" s="2" t="str">
        <f t="shared" si="1"/>
        <v>2010</v>
      </c>
      <c r="K49" s="2">
        <v>0</v>
      </c>
      <c r="L49" s="2">
        <f t="shared" si="2"/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</row>
    <row r="50" spans="1:17" x14ac:dyDescent="0.2">
      <c r="A50" t="s">
        <v>207</v>
      </c>
      <c r="B50" t="s">
        <v>18</v>
      </c>
      <c r="C50" t="s">
        <v>19</v>
      </c>
      <c r="D50" t="s">
        <v>20</v>
      </c>
      <c r="E50" t="s">
        <v>38</v>
      </c>
      <c r="F50" t="s">
        <v>91</v>
      </c>
      <c r="G50" t="s">
        <v>20</v>
      </c>
      <c r="H50" s="5">
        <f t="shared" si="0"/>
        <v>1081</v>
      </c>
      <c r="I50" s="2">
        <v>43</v>
      </c>
      <c r="J50" s="2" t="str">
        <f t="shared" si="1"/>
        <v>2007</v>
      </c>
      <c r="K50" s="2">
        <v>0</v>
      </c>
      <c r="L50" s="2">
        <f t="shared" si="2"/>
        <v>1</v>
      </c>
      <c r="M50" s="23">
        <v>1</v>
      </c>
      <c r="N50" s="23">
        <v>0</v>
      </c>
      <c r="O50" s="23">
        <v>0</v>
      </c>
      <c r="P50" s="23">
        <v>0</v>
      </c>
      <c r="Q50" s="23">
        <v>0</v>
      </c>
    </row>
    <row r="51" spans="1:17" x14ac:dyDescent="0.2">
      <c r="A51" t="s">
        <v>256</v>
      </c>
      <c r="B51" t="s">
        <v>24</v>
      </c>
      <c r="C51" t="s">
        <v>20</v>
      </c>
      <c r="D51" t="s">
        <v>25</v>
      </c>
      <c r="E51" t="s">
        <v>38</v>
      </c>
      <c r="F51" t="s">
        <v>96</v>
      </c>
      <c r="G51" t="s">
        <v>244</v>
      </c>
      <c r="H51" s="5">
        <f t="shared" si="0"/>
        <v>518</v>
      </c>
      <c r="I51" s="2">
        <v>53</v>
      </c>
      <c r="J51" s="2" t="str">
        <f t="shared" si="1"/>
        <v>2011</v>
      </c>
      <c r="K51" s="2">
        <v>0</v>
      </c>
      <c r="L51" s="2">
        <f t="shared" si="2"/>
        <v>1</v>
      </c>
      <c r="M51" s="23">
        <v>0</v>
      </c>
      <c r="N51" s="23">
        <v>1</v>
      </c>
      <c r="O51" s="23">
        <v>0</v>
      </c>
      <c r="P51" s="23">
        <v>0</v>
      </c>
      <c r="Q51" s="23">
        <v>0</v>
      </c>
    </row>
    <row r="52" spans="1:17" x14ac:dyDescent="0.2">
      <c r="A52" t="s">
        <v>31</v>
      </c>
      <c r="B52" t="s">
        <v>37</v>
      </c>
      <c r="C52" t="s">
        <v>15</v>
      </c>
      <c r="D52" t="s">
        <v>34</v>
      </c>
      <c r="E52" t="s">
        <v>38</v>
      </c>
      <c r="F52" t="s">
        <v>15</v>
      </c>
      <c r="G52" t="s">
        <v>39</v>
      </c>
      <c r="H52" s="5">
        <f t="shared" si="0"/>
        <v>2106</v>
      </c>
      <c r="I52" s="2">
        <v>43</v>
      </c>
      <c r="J52" s="2" t="str">
        <f t="shared" si="1"/>
        <v>1994</v>
      </c>
      <c r="K52" s="2">
        <v>1</v>
      </c>
      <c r="L52" s="2">
        <f t="shared" si="2"/>
        <v>1</v>
      </c>
      <c r="M52" s="23">
        <v>1</v>
      </c>
      <c r="N52" s="23">
        <v>0</v>
      </c>
      <c r="O52" s="23">
        <v>0</v>
      </c>
      <c r="P52" s="23">
        <v>0</v>
      </c>
      <c r="Q52" s="23">
        <v>0</v>
      </c>
    </row>
    <row r="53" spans="1:17" x14ac:dyDescent="0.2">
      <c r="A53" t="s">
        <v>188</v>
      </c>
      <c r="B53" t="s">
        <v>24</v>
      </c>
      <c r="C53" t="s">
        <v>20</v>
      </c>
      <c r="D53" t="s">
        <v>25</v>
      </c>
      <c r="E53" t="s">
        <v>165</v>
      </c>
      <c r="F53" t="s">
        <v>20</v>
      </c>
      <c r="G53" t="s">
        <v>96</v>
      </c>
      <c r="H53" s="5">
        <f t="shared" si="0"/>
        <v>494</v>
      </c>
      <c r="I53" s="2">
        <v>32</v>
      </c>
      <c r="J53" s="2" t="str">
        <f t="shared" si="1"/>
        <v>2010</v>
      </c>
      <c r="K53" s="2">
        <v>0</v>
      </c>
      <c r="L53" s="2">
        <f t="shared" si="2"/>
        <v>2</v>
      </c>
      <c r="M53" s="23">
        <v>0</v>
      </c>
      <c r="N53" s="23">
        <v>0</v>
      </c>
      <c r="O53" s="23">
        <v>1</v>
      </c>
      <c r="P53" s="23">
        <v>1</v>
      </c>
      <c r="Q53" s="23">
        <v>0</v>
      </c>
    </row>
    <row r="54" spans="1:17" x14ac:dyDescent="0.2">
      <c r="A54" t="s">
        <v>199</v>
      </c>
      <c r="B54" t="s">
        <v>24</v>
      </c>
      <c r="C54" t="s">
        <v>20</v>
      </c>
      <c r="D54" t="s">
        <v>25</v>
      </c>
      <c r="E54" t="s">
        <v>165</v>
      </c>
      <c r="F54" t="s">
        <v>96</v>
      </c>
      <c r="G54" t="s">
        <v>111</v>
      </c>
      <c r="H54" s="5">
        <f t="shared" si="0"/>
        <v>689</v>
      </c>
      <c r="I54" s="2">
        <v>57</v>
      </c>
      <c r="J54" s="2" t="str">
        <f t="shared" si="1"/>
        <v>2011</v>
      </c>
      <c r="K54" s="2">
        <v>0</v>
      </c>
      <c r="L54" s="2">
        <f t="shared" si="2"/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</row>
    <row r="55" spans="1:17" x14ac:dyDescent="0.2">
      <c r="A55" t="s">
        <v>232</v>
      </c>
      <c r="B55" t="s">
        <v>33</v>
      </c>
      <c r="C55" t="s">
        <v>34</v>
      </c>
      <c r="D55" t="s">
        <v>19</v>
      </c>
      <c r="E55" t="s">
        <v>165</v>
      </c>
      <c r="F55" t="s">
        <v>69</v>
      </c>
      <c r="G55" t="s">
        <v>36</v>
      </c>
      <c r="H55" s="5">
        <f t="shared" si="0"/>
        <v>576</v>
      </c>
      <c r="I55" s="2">
        <v>47</v>
      </c>
      <c r="J55" s="2" t="str">
        <f t="shared" si="1"/>
        <v>2003</v>
      </c>
      <c r="K55" s="2">
        <v>0</v>
      </c>
      <c r="L55" s="2">
        <f t="shared" si="2"/>
        <v>2</v>
      </c>
      <c r="M55" s="23">
        <v>0</v>
      </c>
      <c r="N55" s="23">
        <v>1</v>
      </c>
      <c r="O55" s="23">
        <v>1</v>
      </c>
      <c r="P55" s="23">
        <v>0</v>
      </c>
      <c r="Q55" s="23">
        <v>0</v>
      </c>
    </row>
    <row r="56" spans="1:17" x14ac:dyDescent="0.2">
      <c r="A56" t="s">
        <v>234</v>
      </c>
      <c r="B56" t="s">
        <v>37</v>
      </c>
      <c r="C56" t="s">
        <v>15</v>
      </c>
      <c r="D56" t="s">
        <v>34</v>
      </c>
      <c r="E56" t="s">
        <v>165</v>
      </c>
      <c r="F56" t="s">
        <v>235</v>
      </c>
      <c r="G56" t="s">
        <v>236</v>
      </c>
      <c r="H56" s="5">
        <f t="shared" si="0"/>
        <v>520</v>
      </c>
      <c r="I56" s="2">
        <v>51</v>
      </c>
      <c r="J56" s="2" t="str">
        <f t="shared" si="1"/>
        <v>1996</v>
      </c>
      <c r="K56" s="2">
        <v>0</v>
      </c>
      <c r="L56" s="2">
        <f t="shared" si="2"/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</row>
    <row r="57" spans="1:17" x14ac:dyDescent="0.2">
      <c r="A57" t="s">
        <v>190</v>
      </c>
      <c r="B57" t="s">
        <v>33</v>
      </c>
      <c r="C57" t="s">
        <v>34</v>
      </c>
      <c r="D57" t="s">
        <v>19</v>
      </c>
      <c r="E57" t="s">
        <v>165</v>
      </c>
      <c r="F57" t="s">
        <v>34</v>
      </c>
      <c r="G57" t="s">
        <v>68</v>
      </c>
      <c r="H57" s="5">
        <f t="shared" si="0"/>
        <v>667</v>
      </c>
      <c r="I57" s="2">
        <v>43</v>
      </c>
      <c r="J57" s="2" t="str">
        <f t="shared" si="1"/>
        <v>2000</v>
      </c>
      <c r="K57" s="2">
        <v>1</v>
      </c>
      <c r="L57" s="2">
        <f t="shared" si="2"/>
        <v>1</v>
      </c>
      <c r="M57" s="23">
        <v>0</v>
      </c>
      <c r="N57" s="23">
        <v>0</v>
      </c>
      <c r="O57" s="23">
        <v>1</v>
      </c>
      <c r="P57" s="23">
        <v>0</v>
      </c>
      <c r="Q57" s="23">
        <v>0</v>
      </c>
    </row>
    <row r="58" spans="1:17" x14ac:dyDescent="0.2">
      <c r="A58" t="s">
        <v>114</v>
      </c>
      <c r="B58" t="s">
        <v>33</v>
      </c>
      <c r="C58" t="s">
        <v>34</v>
      </c>
      <c r="D58" t="s">
        <v>19</v>
      </c>
      <c r="E58" t="s">
        <v>115</v>
      </c>
      <c r="F58" t="s">
        <v>34</v>
      </c>
      <c r="G58" t="s">
        <v>116</v>
      </c>
      <c r="H58" s="5">
        <f t="shared" si="0"/>
        <v>465</v>
      </c>
      <c r="I58" s="2">
        <v>40</v>
      </c>
      <c r="J58" s="2" t="str">
        <f t="shared" si="1"/>
        <v>2000</v>
      </c>
      <c r="K58" s="2">
        <v>0</v>
      </c>
      <c r="L58" s="2">
        <f t="shared" si="2"/>
        <v>1</v>
      </c>
      <c r="M58" s="23">
        <v>1</v>
      </c>
      <c r="N58" s="23">
        <v>0</v>
      </c>
      <c r="O58" s="23">
        <v>0</v>
      </c>
      <c r="P58" s="23">
        <v>0</v>
      </c>
      <c r="Q58" s="23">
        <v>0</v>
      </c>
    </row>
    <row r="59" spans="1:17" x14ac:dyDescent="0.2">
      <c r="A59" t="s">
        <v>157</v>
      </c>
      <c r="B59" t="s">
        <v>18</v>
      </c>
      <c r="C59" t="s">
        <v>19</v>
      </c>
      <c r="D59" t="s">
        <v>20</v>
      </c>
      <c r="E59" t="s">
        <v>115</v>
      </c>
      <c r="F59" t="s">
        <v>89</v>
      </c>
      <c r="G59" t="s">
        <v>20</v>
      </c>
      <c r="H59" s="5">
        <f t="shared" si="0"/>
        <v>793</v>
      </c>
      <c r="I59" s="2">
        <v>51</v>
      </c>
      <c r="J59" s="2" t="str">
        <f t="shared" si="1"/>
        <v>2008</v>
      </c>
      <c r="K59" s="2">
        <v>0</v>
      </c>
      <c r="L59" s="2">
        <f t="shared" si="2"/>
        <v>2</v>
      </c>
      <c r="M59" s="23">
        <v>1</v>
      </c>
      <c r="N59" s="23">
        <v>0</v>
      </c>
      <c r="O59" s="23">
        <v>0</v>
      </c>
      <c r="P59" s="23">
        <v>0</v>
      </c>
      <c r="Q59" s="23">
        <v>1</v>
      </c>
    </row>
    <row r="60" spans="1:17" x14ac:dyDescent="0.2">
      <c r="A60" t="s">
        <v>175</v>
      </c>
      <c r="B60" t="s">
        <v>13</v>
      </c>
      <c r="C60" t="s">
        <v>14</v>
      </c>
      <c r="D60" t="s">
        <v>15</v>
      </c>
      <c r="E60" t="s">
        <v>85</v>
      </c>
      <c r="F60" t="s">
        <v>14</v>
      </c>
      <c r="G60" t="s">
        <v>15</v>
      </c>
      <c r="H60" s="5">
        <f t="shared" si="0"/>
        <v>1461</v>
      </c>
      <c r="I60" s="2">
        <v>53</v>
      </c>
      <c r="J60" s="2" t="str">
        <f t="shared" si="1"/>
        <v>1990</v>
      </c>
      <c r="K60" s="2">
        <v>0</v>
      </c>
      <c r="L60" s="2">
        <f t="shared" si="2"/>
        <v>2</v>
      </c>
      <c r="M60" s="23">
        <v>0</v>
      </c>
      <c r="N60" s="23">
        <v>0</v>
      </c>
      <c r="O60" s="23">
        <v>1</v>
      </c>
      <c r="P60" s="23">
        <v>0</v>
      </c>
      <c r="Q60" s="23">
        <v>1</v>
      </c>
    </row>
    <row r="61" spans="1:17" x14ac:dyDescent="0.2">
      <c r="A61" t="s">
        <v>191</v>
      </c>
      <c r="B61" t="s">
        <v>37</v>
      </c>
      <c r="C61" t="s">
        <v>15</v>
      </c>
      <c r="D61" t="s">
        <v>34</v>
      </c>
      <c r="E61" t="s">
        <v>85</v>
      </c>
      <c r="F61" t="s">
        <v>15</v>
      </c>
      <c r="G61" t="s">
        <v>62</v>
      </c>
      <c r="H61" s="5">
        <f t="shared" si="0"/>
        <v>1604</v>
      </c>
      <c r="I61" s="2">
        <v>56</v>
      </c>
      <c r="J61" s="2" t="str">
        <f t="shared" si="1"/>
        <v>1994</v>
      </c>
      <c r="K61" s="2">
        <v>0</v>
      </c>
      <c r="L61" s="2">
        <f t="shared" si="2"/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</row>
    <row r="62" spans="1:17" x14ac:dyDescent="0.2">
      <c r="A62" t="s">
        <v>281</v>
      </c>
      <c r="B62" t="s">
        <v>37</v>
      </c>
      <c r="C62" t="s">
        <v>15</v>
      </c>
      <c r="D62" t="s">
        <v>34</v>
      </c>
      <c r="E62" t="s">
        <v>85</v>
      </c>
      <c r="F62" t="s">
        <v>62</v>
      </c>
      <c r="G62" t="s">
        <v>283</v>
      </c>
      <c r="H62" s="5">
        <f t="shared" si="0"/>
        <v>586</v>
      </c>
      <c r="I62" s="2">
        <v>60</v>
      </c>
      <c r="J62" s="2" t="str">
        <f t="shared" si="1"/>
        <v>1998</v>
      </c>
      <c r="K62" s="2">
        <v>0</v>
      </c>
      <c r="L62" s="2">
        <f t="shared" si="2"/>
        <v>1</v>
      </c>
      <c r="M62" s="23">
        <v>1</v>
      </c>
      <c r="N62" s="23">
        <v>0</v>
      </c>
      <c r="O62" s="23">
        <v>0</v>
      </c>
      <c r="P62" s="23">
        <v>0</v>
      </c>
      <c r="Q62" s="23">
        <v>0</v>
      </c>
    </row>
    <row r="63" spans="1:17" x14ac:dyDescent="0.2">
      <c r="A63" t="s">
        <v>145</v>
      </c>
      <c r="B63" t="s">
        <v>37</v>
      </c>
      <c r="C63" t="s">
        <v>15</v>
      </c>
      <c r="D63" t="s">
        <v>34</v>
      </c>
      <c r="E63" t="s">
        <v>35</v>
      </c>
      <c r="F63" t="s">
        <v>15</v>
      </c>
      <c r="G63" t="s">
        <v>94</v>
      </c>
      <c r="H63" s="5">
        <f t="shared" si="0"/>
        <v>193</v>
      </c>
      <c r="I63" s="2">
        <v>64</v>
      </c>
      <c r="J63" s="2" t="str">
        <f t="shared" si="1"/>
        <v>1994</v>
      </c>
      <c r="K63" s="2">
        <v>0</v>
      </c>
      <c r="L63" s="2">
        <f t="shared" si="2"/>
        <v>1</v>
      </c>
      <c r="M63" s="23">
        <v>0</v>
      </c>
      <c r="N63" s="23">
        <v>0</v>
      </c>
      <c r="O63" s="23">
        <v>1</v>
      </c>
      <c r="P63" s="23">
        <v>0</v>
      </c>
      <c r="Q63" s="23">
        <v>0</v>
      </c>
    </row>
    <row r="64" spans="1:17" x14ac:dyDescent="0.2">
      <c r="A64" t="s">
        <v>226</v>
      </c>
      <c r="B64" t="s">
        <v>24</v>
      </c>
      <c r="C64" t="s">
        <v>20</v>
      </c>
      <c r="D64" t="s">
        <v>25</v>
      </c>
      <c r="E64" t="s">
        <v>35</v>
      </c>
      <c r="F64" t="s">
        <v>20</v>
      </c>
      <c r="G64" t="s">
        <v>25</v>
      </c>
      <c r="H64" s="5">
        <f t="shared" si="0"/>
        <v>1461</v>
      </c>
      <c r="I64" s="2">
        <v>53</v>
      </c>
      <c r="J64" s="2" t="str">
        <f t="shared" si="1"/>
        <v>2010</v>
      </c>
      <c r="K64" s="2">
        <v>0</v>
      </c>
      <c r="L64" s="2">
        <f t="shared" si="2"/>
        <v>2</v>
      </c>
      <c r="M64" s="23">
        <v>0</v>
      </c>
      <c r="N64" s="23">
        <v>0</v>
      </c>
      <c r="O64" s="23">
        <v>1</v>
      </c>
      <c r="P64" s="23">
        <v>0</v>
      </c>
      <c r="Q64" s="23">
        <v>1</v>
      </c>
    </row>
    <row r="65" spans="1:17" x14ac:dyDescent="0.2">
      <c r="A65" t="s">
        <v>274</v>
      </c>
      <c r="B65" t="s">
        <v>13</v>
      </c>
      <c r="C65" t="s">
        <v>14</v>
      </c>
      <c r="D65" t="s">
        <v>15</v>
      </c>
      <c r="E65" t="s">
        <v>35</v>
      </c>
      <c r="F65" t="s">
        <v>14</v>
      </c>
      <c r="G65" t="s">
        <v>15</v>
      </c>
      <c r="H65" s="5">
        <f t="shared" si="0"/>
        <v>1461</v>
      </c>
      <c r="I65" s="2">
        <v>71</v>
      </c>
      <c r="J65" s="2" t="str">
        <f t="shared" si="1"/>
        <v>1990</v>
      </c>
      <c r="K65" s="2">
        <v>0</v>
      </c>
      <c r="L65" s="2">
        <f t="shared" si="2"/>
        <v>2</v>
      </c>
      <c r="M65" s="23">
        <v>1</v>
      </c>
      <c r="N65" s="23">
        <v>0</v>
      </c>
      <c r="O65" s="23">
        <v>1</v>
      </c>
      <c r="P65" s="23">
        <v>0</v>
      </c>
      <c r="Q65" s="23">
        <v>0</v>
      </c>
    </row>
    <row r="66" spans="1:17" x14ac:dyDescent="0.2">
      <c r="A66" t="s">
        <v>292</v>
      </c>
      <c r="B66" t="s">
        <v>37</v>
      </c>
      <c r="C66" t="s">
        <v>15</v>
      </c>
      <c r="D66" t="s">
        <v>34</v>
      </c>
      <c r="E66" t="s">
        <v>35</v>
      </c>
      <c r="F66" t="s">
        <v>63</v>
      </c>
      <c r="G66" t="s">
        <v>34</v>
      </c>
      <c r="H66" s="5">
        <f t="shared" ref="H66:H129" si="3">G66-F66</f>
        <v>263</v>
      </c>
      <c r="I66" s="2">
        <v>52</v>
      </c>
      <c r="J66" s="2" t="str">
        <f t="shared" si="1"/>
        <v>1999</v>
      </c>
      <c r="K66" s="2">
        <v>0</v>
      </c>
      <c r="L66" s="2">
        <f t="shared" si="2"/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</row>
    <row r="67" spans="1:17" x14ac:dyDescent="0.2">
      <c r="A67" t="s">
        <v>301</v>
      </c>
      <c r="B67" t="s">
        <v>33</v>
      </c>
      <c r="C67" t="s">
        <v>34</v>
      </c>
      <c r="D67" t="s">
        <v>19</v>
      </c>
      <c r="E67" t="s">
        <v>35</v>
      </c>
      <c r="F67" t="s">
        <v>36</v>
      </c>
      <c r="G67" t="s">
        <v>19</v>
      </c>
      <c r="H67" s="5">
        <f t="shared" si="3"/>
        <v>528</v>
      </c>
      <c r="I67" s="2">
        <v>48</v>
      </c>
      <c r="J67" s="2" t="str">
        <f t="shared" ref="J67:J130" si="4">TEXT(F67, "yyyy")</f>
        <v>2004</v>
      </c>
      <c r="K67" s="2">
        <v>0</v>
      </c>
      <c r="L67" s="2">
        <f t="shared" ref="L67:L130" si="5">M67+N67+O67+P67+Q67</f>
        <v>2</v>
      </c>
      <c r="M67" s="23">
        <v>0</v>
      </c>
      <c r="N67" s="23">
        <v>1</v>
      </c>
      <c r="O67" s="23">
        <v>1</v>
      </c>
      <c r="P67" s="23">
        <v>0</v>
      </c>
      <c r="Q67" s="23">
        <v>0</v>
      </c>
    </row>
    <row r="68" spans="1:17" x14ac:dyDescent="0.2">
      <c r="A68" t="s">
        <v>31</v>
      </c>
      <c r="B68" t="s">
        <v>33</v>
      </c>
      <c r="C68" t="s">
        <v>34</v>
      </c>
      <c r="D68" t="s">
        <v>19</v>
      </c>
      <c r="E68" t="s">
        <v>35</v>
      </c>
      <c r="F68" t="s">
        <v>34</v>
      </c>
      <c r="G68" t="s">
        <v>36</v>
      </c>
      <c r="H68" s="5">
        <f t="shared" si="3"/>
        <v>1663</v>
      </c>
      <c r="I68" s="2">
        <v>49</v>
      </c>
      <c r="J68" s="2" t="str">
        <f t="shared" si="4"/>
        <v>2000</v>
      </c>
      <c r="K68" s="2">
        <v>1</v>
      </c>
      <c r="L68" s="2">
        <f t="shared" si="5"/>
        <v>1</v>
      </c>
      <c r="M68" s="23">
        <v>1</v>
      </c>
      <c r="N68" s="23">
        <v>0</v>
      </c>
      <c r="O68" s="23">
        <v>0</v>
      </c>
      <c r="P68" s="23">
        <v>0</v>
      </c>
      <c r="Q68" s="23">
        <v>0</v>
      </c>
    </row>
    <row r="69" spans="1:17" x14ac:dyDescent="0.2">
      <c r="A69" t="s">
        <v>182</v>
      </c>
      <c r="B69" t="s">
        <v>13</v>
      </c>
      <c r="C69" t="s">
        <v>14</v>
      </c>
      <c r="D69" t="s">
        <v>15</v>
      </c>
      <c r="E69" t="s">
        <v>67</v>
      </c>
      <c r="F69" t="s">
        <v>14</v>
      </c>
      <c r="G69" t="s">
        <v>183</v>
      </c>
      <c r="H69" s="5">
        <f t="shared" si="3"/>
        <v>964</v>
      </c>
      <c r="I69" s="2">
        <v>45</v>
      </c>
      <c r="J69" s="2" t="str">
        <f t="shared" si="4"/>
        <v>1990</v>
      </c>
      <c r="K69" s="2">
        <v>0</v>
      </c>
      <c r="L69" s="2">
        <f t="shared" si="5"/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</row>
    <row r="70" spans="1:17" x14ac:dyDescent="0.2">
      <c r="A70" t="s">
        <v>224</v>
      </c>
      <c r="B70" t="s">
        <v>13</v>
      </c>
      <c r="C70" t="s">
        <v>14</v>
      </c>
      <c r="D70" t="s">
        <v>15</v>
      </c>
      <c r="E70" t="s">
        <v>67</v>
      </c>
      <c r="F70" t="s">
        <v>183</v>
      </c>
      <c r="G70" t="s">
        <v>15</v>
      </c>
      <c r="H70" s="5">
        <f t="shared" si="3"/>
        <v>497</v>
      </c>
      <c r="I70" s="2">
        <v>66</v>
      </c>
      <c r="J70" s="2" t="str">
        <f t="shared" si="4"/>
        <v>1992</v>
      </c>
      <c r="K70" s="2">
        <v>0</v>
      </c>
      <c r="L70" s="2">
        <f t="shared" si="5"/>
        <v>3</v>
      </c>
      <c r="M70" s="23">
        <v>0</v>
      </c>
      <c r="N70" s="23">
        <v>1</v>
      </c>
      <c r="O70" s="23">
        <v>1</v>
      </c>
      <c r="P70" s="23">
        <v>0</v>
      </c>
      <c r="Q70" s="23">
        <v>1</v>
      </c>
    </row>
    <row r="71" spans="1:17" x14ac:dyDescent="0.2">
      <c r="A71" t="s">
        <v>31</v>
      </c>
      <c r="B71" t="s">
        <v>13</v>
      </c>
      <c r="C71" t="s">
        <v>14</v>
      </c>
      <c r="D71" t="s">
        <v>15</v>
      </c>
      <c r="E71" t="s">
        <v>21</v>
      </c>
      <c r="F71" t="s">
        <v>32</v>
      </c>
      <c r="G71" t="s">
        <v>15</v>
      </c>
      <c r="H71" s="5">
        <f t="shared" si="3"/>
        <v>1163</v>
      </c>
      <c r="I71" s="2">
        <v>40</v>
      </c>
      <c r="J71" s="2" t="str">
        <f t="shared" si="4"/>
        <v>1991</v>
      </c>
      <c r="K71" s="2">
        <v>1</v>
      </c>
      <c r="L71" s="2">
        <f t="shared" si="5"/>
        <v>1</v>
      </c>
      <c r="M71" s="23">
        <v>1</v>
      </c>
      <c r="N71" s="23">
        <v>0</v>
      </c>
      <c r="O71" s="23">
        <v>0</v>
      </c>
      <c r="P71" s="23">
        <v>0</v>
      </c>
      <c r="Q71" s="23">
        <v>0</v>
      </c>
    </row>
    <row r="72" spans="1:17" x14ac:dyDescent="0.2">
      <c r="A72" t="s">
        <v>43</v>
      </c>
      <c r="B72" t="s">
        <v>18</v>
      </c>
      <c r="C72" t="s">
        <v>19</v>
      </c>
      <c r="D72" t="s">
        <v>20</v>
      </c>
      <c r="E72" t="s">
        <v>21</v>
      </c>
      <c r="F72" t="s">
        <v>44</v>
      </c>
      <c r="G72" t="s">
        <v>20</v>
      </c>
      <c r="H72" s="5">
        <f t="shared" si="3"/>
        <v>142</v>
      </c>
      <c r="I72" s="2">
        <v>55</v>
      </c>
      <c r="J72" s="2" t="str">
        <f t="shared" si="4"/>
        <v>2009</v>
      </c>
      <c r="K72" s="2">
        <v>1</v>
      </c>
      <c r="L72" s="2">
        <f t="shared" si="5"/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</row>
    <row r="73" spans="1:17" x14ac:dyDescent="0.2">
      <c r="A73" t="s">
        <v>269</v>
      </c>
      <c r="B73" t="s">
        <v>24</v>
      </c>
      <c r="C73" t="s">
        <v>20</v>
      </c>
      <c r="D73" t="s">
        <v>25</v>
      </c>
      <c r="E73" t="s">
        <v>21</v>
      </c>
      <c r="F73" t="s">
        <v>20</v>
      </c>
      <c r="G73" t="s">
        <v>270</v>
      </c>
      <c r="H73" s="5">
        <f t="shared" si="3"/>
        <v>1138</v>
      </c>
      <c r="I73" s="2">
        <v>40</v>
      </c>
      <c r="J73" s="2" t="str">
        <f t="shared" si="4"/>
        <v>2010</v>
      </c>
      <c r="K73" s="2">
        <v>1</v>
      </c>
      <c r="L73" s="2">
        <f t="shared" si="5"/>
        <v>1</v>
      </c>
      <c r="M73" s="23">
        <v>0</v>
      </c>
      <c r="N73" s="23">
        <v>0</v>
      </c>
      <c r="O73" s="23">
        <v>0</v>
      </c>
      <c r="P73" s="23">
        <v>0</v>
      </c>
      <c r="Q73" s="23">
        <v>1</v>
      </c>
    </row>
    <row r="74" spans="1:17" x14ac:dyDescent="0.2">
      <c r="A74" t="s">
        <v>45</v>
      </c>
      <c r="B74" t="s">
        <v>18</v>
      </c>
      <c r="C74" t="s">
        <v>19</v>
      </c>
      <c r="D74" t="s">
        <v>20</v>
      </c>
      <c r="E74" t="s">
        <v>46</v>
      </c>
      <c r="F74" t="s">
        <v>19</v>
      </c>
      <c r="G74" t="s">
        <v>47</v>
      </c>
      <c r="H74" s="5">
        <f t="shared" si="3"/>
        <v>1005</v>
      </c>
      <c r="I74" s="2">
        <v>52</v>
      </c>
      <c r="J74" s="2" t="str">
        <f t="shared" si="4"/>
        <v>2006</v>
      </c>
      <c r="K74" s="2">
        <v>0</v>
      </c>
      <c r="L74" s="2">
        <f t="shared" si="5"/>
        <v>1</v>
      </c>
      <c r="M74" s="23">
        <v>1</v>
      </c>
      <c r="N74" s="23">
        <v>0</v>
      </c>
      <c r="O74" s="23">
        <v>0</v>
      </c>
      <c r="P74" s="23">
        <v>0</v>
      </c>
      <c r="Q74" s="23">
        <v>0</v>
      </c>
    </row>
    <row r="75" spans="1:17" x14ac:dyDescent="0.2">
      <c r="A75" t="s">
        <v>186</v>
      </c>
      <c r="B75" t="s">
        <v>24</v>
      </c>
      <c r="C75" t="s">
        <v>20</v>
      </c>
      <c r="D75" t="s">
        <v>25</v>
      </c>
      <c r="E75" t="s">
        <v>46</v>
      </c>
      <c r="F75" t="s">
        <v>187</v>
      </c>
      <c r="G75" t="s">
        <v>25</v>
      </c>
      <c r="H75" s="5">
        <f t="shared" si="3"/>
        <v>230</v>
      </c>
      <c r="I75" s="2">
        <v>37</v>
      </c>
      <c r="J75" s="2" t="str">
        <f t="shared" si="4"/>
        <v>2013</v>
      </c>
      <c r="K75" s="2">
        <v>0</v>
      </c>
      <c r="L75" s="2">
        <f t="shared" si="5"/>
        <v>3</v>
      </c>
      <c r="M75" s="23">
        <v>1</v>
      </c>
      <c r="N75" s="23">
        <v>0</v>
      </c>
      <c r="O75" s="23">
        <v>1</v>
      </c>
      <c r="P75" s="23">
        <v>1</v>
      </c>
      <c r="Q75" s="23">
        <v>0</v>
      </c>
    </row>
    <row r="76" spans="1:17" x14ac:dyDescent="0.2">
      <c r="A76" t="s">
        <v>214</v>
      </c>
      <c r="B76" t="s">
        <v>24</v>
      </c>
      <c r="C76" t="s">
        <v>20</v>
      </c>
      <c r="D76" t="s">
        <v>25</v>
      </c>
      <c r="E76" t="s">
        <v>46</v>
      </c>
      <c r="F76" t="s">
        <v>27</v>
      </c>
      <c r="G76" t="s">
        <v>215</v>
      </c>
      <c r="H76" s="5">
        <f t="shared" si="3"/>
        <v>916</v>
      </c>
      <c r="I76" s="2">
        <v>57</v>
      </c>
      <c r="J76" s="2" t="str">
        <f t="shared" si="4"/>
        <v>2011</v>
      </c>
      <c r="K76" s="2">
        <v>1</v>
      </c>
      <c r="L76" s="2">
        <f t="shared" si="5"/>
        <v>1</v>
      </c>
      <c r="M76" s="23">
        <v>0</v>
      </c>
      <c r="N76" s="23">
        <v>1</v>
      </c>
      <c r="O76" s="23">
        <v>0</v>
      </c>
      <c r="P76" s="23">
        <v>0</v>
      </c>
      <c r="Q76" s="23">
        <v>0</v>
      </c>
    </row>
    <row r="77" spans="1:17" x14ac:dyDescent="0.2">
      <c r="A77" t="s">
        <v>131</v>
      </c>
      <c r="B77" t="s">
        <v>24</v>
      </c>
      <c r="C77" t="s">
        <v>20</v>
      </c>
      <c r="D77" t="s">
        <v>25</v>
      </c>
      <c r="E77" t="s">
        <v>105</v>
      </c>
      <c r="F77" t="s">
        <v>27</v>
      </c>
      <c r="G77" t="s">
        <v>25</v>
      </c>
      <c r="H77" s="5">
        <f t="shared" si="3"/>
        <v>1150</v>
      </c>
      <c r="I77" s="2">
        <v>49</v>
      </c>
      <c r="J77" s="2" t="str">
        <f t="shared" si="4"/>
        <v>2011</v>
      </c>
      <c r="K77" s="2">
        <v>0</v>
      </c>
      <c r="L77" s="2">
        <f t="shared" si="5"/>
        <v>1</v>
      </c>
      <c r="M77" s="23">
        <v>0</v>
      </c>
      <c r="N77" s="23">
        <v>0</v>
      </c>
      <c r="O77" s="23">
        <v>0</v>
      </c>
      <c r="P77" s="23">
        <v>0</v>
      </c>
      <c r="Q77" s="23">
        <v>1</v>
      </c>
    </row>
    <row r="78" spans="1:17" x14ac:dyDescent="0.2">
      <c r="A78" t="s">
        <v>225</v>
      </c>
      <c r="B78" t="s">
        <v>24</v>
      </c>
      <c r="C78" t="s">
        <v>20</v>
      </c>
      <c r="D78" t="s">
        <v>25</v>
      </c>
      <c r="E78" t="s">
        <v>105</v>
      </c>
      <c r="F78" t="s">
        <v>20</v>
      </c>
      <c r="G78" t="s">
        <v>219</v>
      </c>
      <c r="H78" s="5">
        <f t="shared" si="3"/>
        <v>309</v>
      </c>
      <c r="I78" s="2">
        <v>54</v>
      </c>
      <c r="J78" s="2" t="str">
        <f t="shared" si="4"/>
        <v>2010</v>
      </c>
      <c r="K78" s="2">
        <v>0</v>
      </c>
      <c r="L78" s="2">
        <f t="shared" si="5"/>
        <v>1</v>
      </c>
      <c r="M78" s="23">
        <v>0</v>
      </c>
      <c r="N78" s="23">
        <v>0</v>
      </c>
      <c r="O78" s="23">
        <v>0</v>
      </c>
      <c r="P78" s="23">
        <v>0</v>
      </c>
      <c r="Q78" s="23">
        <v>1</v>
      </c>
    </row>
    <row r="79" spans="1:17" x14ac:dyDescent="0.2">
      <c r="A79" t="s">
        <v>229</v>
      </c>
      <c r="B79" t="s">
        <v>33</v>
      </c>
      <c r="C79" t="s">
        <v>34</v>
      </c>
      <c r="D79" t="s">
        <v>19</v>
      </c>
      <c r="E79" t="s">
        <v>137</v>
      </c>
      <c r="F79" t="s">
        <v>34</v>
      </c>
      <c r="G79" t="s">
        <v>230</v>
      </c>
      <c r="H79" s="5">
        <f t="shared" si="3"/>
        <v>293</v>
      </c>
      <c r="I79" s="2">
        <v>34</v>
      </c>
      <c r="J79" s="2" t="str">
        <f t="shared" si="4"/>
        <v>2000</v>
      </c>
      <c r="K79" s="2">
        <v>0</v>
      </c>
      <c r="L79" s="2">
        <f t="shared" si="5"/>
        <v>2</v>
      </c>
      <c r="M79" s="23">
        <v>0</v>
      </c>
      <c r="N79" s="23">
        <v>0</v>
      </c>
      <c r="O79" s="23">
        <v>1</v>
      </c>
      <c r="P79" s="23">
        <v>1</v>
      </c>
      <c r="Q79" s="23">
        <v>0</v>
      </c>
    </row>
    <row r="80" spans="1:17" x14ac:dyDescent="0.2">
      <c r="A80" t="s">
        <v>246</v>
      </c>
      <c r="B80" t="s">
        <v>24</v>
      </c>
      <c r="C80" t="s">
        <v>20</v>
      </c>
      <c r="D80" t="s">
        <v>25</v>
      </c>
      <c r="E80" t="s">
        <v>137</v>
      </c>
      <c r="F80" t="s">
        <v>213</v>
      </c>
      <c r="G80" t="s">
        <v>25</v>
      </c>
      <c r="H80" s="5">
        <f t="shared" si="3"/>
        <v>1057</v>
      </c>
      <c r="I80" s="2">
        <v>50</v>
      </c>
      <c r="J80" s="2" t="str">
        <f t="shared" si="4"/>
        <v>2011</v>
      </c>
      <c r="K80" s="2">
        <v>0</v>
      </c>
      <c r="L80" s="2">
        <f t="shared" si="5"/>
        <v>1</v>
      </c>
      <c r="M80" s="23">
        <v>0</v>
      </c>
      <c r="N80" s="23">
        <v>0</v>
      </c>
      <c r="O80" s="23">
        <v>0</v>
      </c>
      <c r="P80" s="23">
        <v>0</v>
      </c>
      <c r="Q80" s="23">
        <v>1</v>
      </c>
    </row>
    <row r="81" spans="1:17" x14ac:dyDescent="0.2">
      <c r="A81" t="s">
        <v>212</v>
      </c>
      <c r="B81" t="s">
        <v>24</v>
      </c>
      <c r="C81" t="s">
        <v>20</v>
      </c>
      <c r="D81" t="s">
        <v>25</v>
      </c>
      <c r="E81" t="s">
        <v>137</v>
      </c>
      <c r="F81" t="s">
        <v>20</v>
      </c>
      <c r="G81" t="s">
        <v>213</v>
      </c>
      <c r="H81" s="5">
        <f t="shared" si="3"/>
        <v>404</v>
      </c>
      <c r="I81" s="2">
        <v>59</v>
      </c>
      <c r="J81" s="2" t="str">
        <f t="shared" si="4"/>
        <v>2010</v>
      </c>
      <c r="K81" s="2">
        <v>1</v>
      </c>
      <c r="L81" s="2">
        <f t="shared" si="5"/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</row>
    <row r="82" spans="1:17" x14ac:dyDescent="0.2">
      <c r="A82" t="s">
        <v>48</v>
      </c>
      <c r="B82" t="s">
        <v>37</v>
      </c>
      <c r="C82" t="s">
        <v>15</v>
      </c>
      <c r="D82" t="s">
        <v>34</v>
      </c>
      <c r="E82" s="8" t="s">
        <v>49</v>
      </c>
      <c r="F82" t="s">
        <v>15</v>
      </c>
      <c r="G82" t="s">
        <v>50</v>
      </c>
      <c r="H82" s="5">
        <f t="shared" si="3"/>
        <v>2093</v>
      </c>
      <c r="I82" s="2">
        <v>46</v>
      </c>
      <c r="J82" s="2" t="str">
        <f t="shared" si="4"/>
        <v>1994</v>
      </c>
      <c r="K82" s="2">
        <v>0</v>
      </c>
      <c r="L82" s="2">
        <f t="shared" si="5"/>
        <v>2</v>
      </c>
      <c r="M82" s="23">
        <v>0</v>
      </c>
      <c r="N82" s="23">
        <v>0</v>
      </c>
      <c r="O82" s="23">
        <v>1</v>
      </c>
      <c r="P82" s="23">
        <v>1</v>
      </c>
      <c r="Q82" s="23">
        <v>0</v>
      </c>
    </row>
    <row r="83" spans="1:17" x14ac:dyDescent="0.2">
      <c r="A83" t="s">
        <v>148</v>
      </c>
      <c r="B83" t="s">
        <v>13</v>
      </c>
      <c r="C83" t="s">
        <v>14</v>
      </c>
      <c r="D83" t="s">
        <v>15</v>
      </c>
      <c r="E83" s="8" t="s">
        <v>49</v>
      </c>
      <c r="F83" t="s">
        <v>14</v>
      </c>
      <c r="G83" t="s">
        <v>15</v>
      </c>
      <c r="H83" s="5">
        <f t="shared" si="3"/>
        <v>1461</v>
      </c>
      <c r="I83" s="2">
        <v>50</v>
      </c>
      <c r="J83" s="2" t="str">
        <f t="shared" si="4"/>
        <v>1990</v>
      </c>
      <c r="K83" s="2">
        <v>0</v>
      </c>
      <c r="L83" s="2">
        <f t="shared" si="5"/>
        <v>2</v>
      </c>
      <c r="M83" s="23">
        <v>0</v>
      </c>
      <c r="N83" s="23">
        <v>0</v>
      </c>
      <c r="O83" s="23">
        <v>1</v>
      </c>
      <c r="P83" s="23">
        <v>1</v>
      </c>
      <c r="Q83" s="23">
        <v>0</v>
      </c>
    </row>
    <row r="84" spans="1:17" x14ac:dyDescent="0.2">
      <c r="A84" t="s">
        <v>104</v>
      </c>
      <c r="B84" t="s">
        <v>37</v>
      </c>
      <c r="C84" t="s">
        <v>15</v>
      </c>
      <c r="D84" t="s">
        <v>34</v>
      </c>
      <c r="E84" t="s">
        <v>106</v>
      </c>
      <c r="F84" t="s">
        <v>15</v>
      </c>
      <c r="G84" t="s">
        <v>94</v>
      </c>
      <c r="H84" s="5">
        <f t="shared" si="3"/>
        <v>193</v>
      </c>
      <c r="I84" s="2">
        <v>54</v>
      </c>
      <c r="J84" s="2" t="str">
        <f t="shared" si="4"/>
        <v>1994</v>
      </c>
      <c r="K84" s="2">
        <v>0</v>
      </c>
      <c r="L84" s="2">
        <f t="shared" si="5"/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</row>
    <row r="85" spans="1:17" x14ac:dyDescent="0.2">
      <c r="A85" t="s">
        <v>176</v>
      </c>
      <c r="B85" t="s">
        <v>33</v>
      </c>
      <c r="C85" t="s">
        <v>34</v>
      </c>
      <c r="D85" t="s">
        <v>19</v>
      </c>
      <c r="E85" t="s">
        <v>106</v>
      </c>
      <c r="F85" t="s">
        <v>34</v>
      </c>
      <c r="G85" t="s">
        <v>177</v>
      </c>
      <c r="H85" s="5">
        <f t="shared" si="3"/>
        <v>1900</v>
      </c>
      <c r="I85" s="2">
        <v>56</v>
      </c>
      <c r="J85" s="2" t="str">
        <f t="shared" si="4"/>
        <v>2000</v>
      </c>
      <c r="K85" s="2">
        <v>0</v>
      </c>
      <c r="L85" s="2">
        <f t="shared" si="5"/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</row>
    <row r="86" spans="1:17" x14ac:dyDescent="0.2">
      <c r="A86" t="s">
        <v>189</v>
      </c>
      <c r="B86" t="s">
        <v>13</v>
      </c>
      <c r="C86" t="s">
        <v>14</v>
      </c>
      <c r="D86" t="s">
        <v>15</v>
      </c>
      <c r="E86" t="s">
        <v>106</v>
      </c>
      <c r="F86" t="s">
        <v>14</v>
      </c>
      <c r="G86" t="s">
        <v>15</v>
      </c>
      <c r="H86" s="5">
        <f t="shared" si="3"/>
        <v>1461</v>
      </c>
      <c r="I86" s="2">
        <v>58</v>
      </c>
      <c r="J86" s="2" t="str">
        <f t="shared" si="4"/>
        <v>1990</v>
      </c>
      <c r="K86" s="2">
        <v>0</v>
      </c>
      <c r="L86" s="2">
        <f t="shared" si="5"/>
        <v>2</v>
      </c>
      <c r="M86" s="23">
        <v>0</v>
      </c>
      <c r="N86" s="23">
        <v>1</v>
      </c>
      <c r="O86" s="23">
        <v>0</v>
      </c>
      <c r="P86" s="23">
        <v>0</v>
      </c>
      <c r="Q86" s="23">
        <v>1</v>
      </c>
    </row>
    <row r="87" spans="1:17" x14ac:dyDescent="0.2">
      <c r="A87" t="s">
        <v>287</v>
      </c>
      <c r="B87" t="s">
        <v>37</v>
      </c>
      <c r="C87" t="s">
        <v>15</v>
      </c>
      <c r="D87" t="s">
        <v>34</v>
      </c>
      <c r="E87" t="s">
        <v>106</v>
      </c>
      <c r="F87" t="s">
        <v>62</v>
      </c>
      <c r="G87" t="s">
        <v>34</v>
      </c>
      <c r="H87" s="5">
        <f t="shared" si="3"/>
        <v>588</v>
      </c>
      <c r="I87" s="2">
        <v>63</v>
      </c>
      <c r="J87" s="2" t="str">
        <f t="shared" si="4"/>
        <v>1998</v>
      </c>
      <c r="K87" s="2">
        <v>0</v>
      </c>
      <c r="L87" s="2">
        <f t="shared" si="5"/>
        <v>1</v>
      </c>
      <c r="M87" s="23">
        <v>1</v>
      </c>
      <c r="N87" s="23">
        <v>0</v>
      </c>
      <c r="O87" s="23">
        <v>0</v>
      </c>
      <c r="P87" s="23">
        <v>0</v>
      </c>
      <c r="Q87" s="23">
        <v>0</v>
      </c>
    </row>
    <row r="88" spans="1:17" x14ac:dyDescent="0.2">
      <c r="A88" t="s">
        <v>293</v>
      </c>
      <c r="B88" t="s">
        <v>18</v>
      </c>
      <c r="C88" t="s">
        <v>19</v>
      </c>
      <c r="D88" t="s">
        <v>20</v>
      </c>
      <c r="E88" t="s">
        <v>106</v>
      </c>
      <c r="F88" t="s">
        <v>53</v>
      </c>
      <c r="G88" t="s">
        <v>294</v>
      </c>
      <c r="H88" s="5">
        <f t="shared" si="3"/>
        <v>539</v>
      </c>
      <c r="I88" s="2">
        <v>70</v>
      </c>
      <c r="J88" s="2" t="str">
        <f t="shared" si="4"/>
        <v>2006</v>
      </c>
      <c r="K88" s="2">
        <v>0</v>
      </c>
      <c r="L88" s="2">
        <f t="shared" si="5"/>
        <v>1</v>
      </c>
      <c r="M88" s="23">
        <v>0</v>
      </c>
      <c r="N88" s="23">
        <v>0</v>
      </c>
      <c r="O88" s="23">
        <v>0</v>
      </c>
      <c r="P88" s="23">
        <v>0</v>
      </c>
      <c r="Q88" s="23">
        <v>1</v>
      </c>
    </row>
    <row r="89" spans="1:17" x14ac:dyDescent="0.2">
      <c r="A89" t="s">
        <v>297</v>
      </c>
      <c r="B89" t="s">
        <v>33</v>
      </c>
      <c r="C89" t="s">
        <v>34</v>
      </c>
      <c r="D89" t="s">
        <v>19</v>
      </c>
      <c r="E89" t="s">
        <v>106</v>
      </c>
      <c r="F89" t="s">
        <v>177</v>
      </c>
      <c r="G89" t="s">
        <v>19</v>
      </c>
      <c r="H89" s="5">
        <f t="shared" si="3"/>
        <v>291</v>
      </c>
      <c r="I89" s="2">
        <v>51</v>
      </c>
      <c r="J89" s="2" t="str">
        <f t="shared" si="4"/>
        <v>2005</v>
      </c>
      <c r="K89" s="2">
        <v>0</v>
      </c>
      <c r="L89" s="2">
        <f t="shared" si="5"/>
        <v>1</v>
      </c>
      <c r="M89" s="23">
        <v>0</v>
      </c>
      <c r="N89" s="23">
        <v>0</v>
      </c>
      <c r="O89" s="23">
        <v>1</v>
      </c>
      <c r="P89" s="23">
        <v>0</v>
      </c>
      <c r="Q89" s="23">
        <v>0</v>
      </c>
    </row>
    <row r="90" spans="1:17" x14ac:dyDescent="0.2">
      <c r="A90" t="s">
        <v>60</v>
      </c>
      <c r="B90" t="s">
        <v>37</v>
      </c>
      <c r="C90" t="s">
        <v>15</v>
      </c>
      <c r="D90" t="s">
        <v>34</v>
      </c>
      <c r="E90" s="8" t="s">
        <v>58</v>
      </c>
      <c r="F90" t="s">
        <v>62</v>
      </c>
      <c r="G90" t="s">
        <v>63</v>
      </c>
      <c r="H90" s="5">
        <f t="shared" si="3"/>
        <v>325</v>
      </c>
      <c r="I90" s="2">
        <v>57</v>
      </c>
      <c r="J90" s="2" t="str">
        <f t="shared" si="4"/>
        <v>1998</v>
      </c>
      <c r="K90" s="2">
        <v>0</v>
      </c>
      <c r="L90" s="2">
        <f t="shared" si="5"/>
        <v>3</v>
      </c>
      <c r="M90" s="23">
        <v>1</v>
      </c>
      <c r="N90" s="23">
        <v>0</v>
      </c>
      <c r="O90" s="23">
        <v>1</v>
      </c>
      <c r="P90" s="23">
        <v>1</v>
      </c>
      <c r="Q90" s="23">
        <v>0</v>
      </c>
    </row>
    <row r="91" spans="1:17" x14ac:dyDescent="0.2">
      <c r="A91" t="s">
        <v>93</v>
      </c>
      <c r="B91" t="s">
        <v>37</v>
      </c>
      <c r="C91" t="s">
        <v>15</v>
      </c>
      <c r="D91" t="s">
        <v>34</v>
      </c>
      <c r="E91" s="8" t="s">
        <v>58</v>
      </c>
      <c r="F91" t="s">
        <v>94</v>
      </c>
      <c r="G91" t="s">
        <v>62</v>
      </c>
      <c r="H91" s="5">
        <f t="shared" si="3"/>
        <v>1411</v>
      </c>
      <c r="I91" s="2">
        <v>49</v>
      </c>
      <c r="J91" s="2" t="str">
        <f t="shared" si="4"/>
        <v>1994</v>
      </c>
      <c r="K91" s="2">
        <v>0</v>
      </c>
      <c r="L91" s="2">
        <f t="shared" si="5"/>
        <v>2</v>
      </c>
      <c r="M91" s="23">
        <v>0</v>
      </c>
      <c r="N91" s="23">
        <v>0</v>
      </c>
      <c r="O91" s="23">
        <v>1</v>
      </c>
      <c r="P91" s="23">
        <v>1</v>
      </c>
      <c r="Q91" s="23">
        <v>0</v>
      </c>
    </row>
    <row r="92" spans="1:17" x14ac:dyDescent="0.2">
      <c r="A92" t="s">
        <v>107</v>
      </c>
      <c r="B92" t="s">
        <v>13</v>
      </c>
      <c r="C92" t="s">
        <v>14</v>
      </c>
      <c r="D92" t="s">
        <v>15</v>
      </c>
      <c r="E92" s="8" t="s">
        <v>58</v>
      </c>
      <c r="F92" t="s">
        <v>14</v>
      </c>
      <c r="G92" t="s">
        <v>15</v>
      </c>
      <c r="H92" s="5">
        <f t="shared" si="3"/>
        <v>1461</v>
      </c>
      <c r="I92" s="2">
        <v>44</v>
      </c>
      <c r="J92" s="2" t="str">
        <f t="shared" si="4"/>
        <v>1990</v>
      </c>
      <c r="K92" s="2">
        <v>0</v>
      </c>
      <c r="L92" s="2">
        <f t="shared" si="5"/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</row>
    <row r="93" spans="1:17" x14ac:dyDescent="0.2">
      <c r="A93" t="s">
        <v>174</v>
      </c>
      <c r="B93" t="s">
        <v>33</v>
      </c>
      <c r="C93" t="s">
        <v>34</v>
      </c>
      <c r="D93" t="s">
        <v>19</v>
      </c>
      <c r="E93" s="8" t="s">
        <v>58</v>
      </c>
      <c r="F93" t="s">
        <v>34</v>
      </c>
      <c r="G93" t="s">
        <v>68</v>
      </c>
      <c r="H93" s="5">
        <f t="shared" si="3"/>
        <v>667</v>
      </c>
      <c r="I93" s="2">
        <v>60</v>
      </c>
      <c r="J93" s="2" t="str">
        <f t="shared" si="4"/>
        <v>2000</v>
      </c>
      <c r="K93" s="2">
        <v>0</v>
      </c>
      <c r="L93" s="2">
        <f t="shared" si="5"/>
        <v>3</v>
      </c>
      <c r="M93" s="23">
        <v>0</v>
      </c>
      <c r="N93" s="23">
        <v>1</v>
      </c>
      <c r="O93" s="23">
        <v>1</v>
      </c>
      <c r="P93" s="23">
        <v>1</v>
      </c>
      <c r="Q93" s="23">
        <v>0</v>
      </c>
    </row>
    <row r="94" spans="1:17" x14ac:dyDescent="0.2">
      <c r="A94" t="s">
        <v>220</v>
      </c>
      <c r="B94" t="s">
        <v>37</v>
      </c>
      <c r="C94" t="s">
        <v>15</v>
      </c>
      <c r="D94" t="s">
        <v>34</v>
      </c>
      <c r="E94" s="8" t="s">
        <v>58</v>
      </c>
      <c r="F94" t="s">
        <v>63</v>
      </c>
      <c r="G94" t="s">
        <v>34</v>
      </c>
      <c r="H94" s="5">
        <f t="shared" si="3"/>
        <v>263</v>
      </c>
      <c r="I94" s="2">
        <v>44</v>
      </c>
      <c r="J94" s="2" t="str">
        <f t="shared" si="4"/>
        <v>1999</v>
      </c>
      <c r="K94" s="2">
        <v>0</v>
      </c>
      <c r="L94" s="2">
        <f t="shared" si="5"/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</row>
    <row r="95" spans="1:17" x14ac:dyDescent="0.2">
      <c r="A95" t="s">
        <v>227</v>
      </c>
      <c r="B95" t="s">
        <v>33</v>
      </c>
      <c r="C95" t="s">
        <v>34</v>
      </c>
      <c r="D95" t="s">
        <v>19</v>
      </c>
      <c r="E95" s="8" t="s">
        <v>58</v>
      </c>
      <c r="F95" t="s">
        <v>68</v>
      </c>
      <c r="G95" t="s">
        <v>69</v>
      </c>
      <c r="H95" s="5">
        <f t="shared" si="3"/>
        <v>420</v>
      </c>
      <c r="I95" s="2">
        <v>53</v>
      </c>
      <c r="J95" s="2" t="str">
        <f t="shared" si="4"/>
        <v>2002</v>
      </c>
      <c r="K95" s="2">
        <v>0</v>
      </c>
      <c r="L95" s="2">
        <f t="shared" si="5"/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</row>
    <row r="96" spans="1:17" x14ac:dyDescent="0.2">
      <c r="A96" t="s">
        <v>255</v>
      </c>
      <c r="B96" t="s">
        <v>37</v>
      </c>
      <c r="C96" t="s">
        <v>15</v>
      </c>
      <c r="D96" t="s">
        <v>34</v>
      </c>
      <c r="E96" s="8" t="s">
        <v>58</v>
      </c>
      <c r="F96" t="s">
        <v>15</v>
      </c>
      <c r="G96" t="s">
        <v>94</v>
      </c>
      <c r="H96" s="5">
        <f t="shared" si="3"/>
        <v>193</v>
      </c>
      <c r="I96" s="2">
        <v>44</v>
      </c>
      <c r="J96" s="2" t="str">
        <f t="shared" si="4"/>
        <v>1994</v>
      </c>
      <c r="K96" s="2">
        <v>0</v>
      </c>
      <c r="L96" s="2">
        <f t="shared" si="5"/>
        <v>1</v>
      </c>
      <c r="M96" s="23">
        <v>0</v>
      </c>
      <c r="N96" s="23">
        <v>1</v>
      </c>
      <c r="O96" s="23">
        <v>0</v>
      </c>
      <c r="P96" s="23">
        <v>0</v>
      </c>
      <c r="Q96" s="23">
        <v>0</v>
      </c>
    </row>
    <row r="97" spans="1:17" x14ac:dyDescent="0.2">
      <c r="A97" t="s">
        <v>297</v>
      </c>
      <c r="B97" t="s">
        <v>33</v>
      </c>
      <c r="C97" t="s">
        <v>34</v>
      </c>
      <c r="D97" t="s">
        <v>19</v>
      </c>
      <c r="E97" s="8" t="s">
        <v>58</v>
      </c>
      <c r="F97" t="s">
        <v>69</v>
      </c>
      <c r="G97" t="s">
        <v>177</v>
      </c>
      <c r="H97" s="5">
        <f t="shared" si="3"/>
        <v>813</v>
      </c>
      <c r="I97" s="2">
        <v>49</v>
      </c>
      <c r="J97" s="2" t="str">
        <f t="shared" si="4"/>
        <v>2003</v>
      </c>
      <c r="K97" s="2">
        <v>0</v>
      </c>
      <c r="L97" s="2">
        <f t="shared" si="5"/>
        <v>1</v>
      </c>
      <c r="M97" s="23">
        <v>0</v>
      </c>
      <c r="N97" s="23">
        <v>0</v>
      </c>
      <c r="O97" s="23">
        <v>1</v>
      </c>
      <c r="P97" s="23">
        <v>0</v>
      </c>
      <c r="Q97" s="23">
        <v>0</v>
      </c>
    </row>
    <row r="98" spans="1:17" x14ac:dyDescent="0.2">
      <c r="A98" t="s">
        <v>297</v>
      </c>
      <c r="B98" t="s">
        <v>18</v>
      </c>
      <c r="C98" t="s">
        <v>19</v>
      </c>
      <c r="D98" t="s">
        <v>20</v>
      </c>
      <c r="E98" s="8" t="s">
        <v>58</v>
      </c>
      <c r="F98" t="s">
        <v>193</v>
      </c>
      <c r="G98" t="s">
        <v>149</v>
      </c>
      <c r="H98" s="5">
        <f t="shared" si="3"/>
        <v>462</v>
      </c>
      <c r="I98" s="2">
        <v>54</v>
      </c>
      <c r="J98" s="2" t="str">
        <f t="shared" si="4"/>
        <v>2007</v>
      </c>
      <c r="K98" s="2">
        <v>0</v>
      </c>
      <c r="L98" s="2">
        <f t="shared" si="5"/>
        <v>2</v>
      </c>
      <c r="M98" s="23">
        <v>1</v>
      </c>
      <c r="N98" s="23">
        <v>0</v>
      </c>
      <c r="O98" s="23">
        <v>1</v>
      </c>
      <c r="P98" s="23">
        <v>0</v>
      </c>
      <c r="Q98" s="23">
        <v>0</v>
      </c>
    </row>
    <row r="99" spans="1:17" x14ac:dyDescent="0.2">
      <c r="A99" t="s">
        <v>57</v>
      </c>
      <c r="B99" t="s">
        <v>18</v>
      </c>
      <c r="C99" t="s">
        <v>19</v>
      </c>
      <c r="D99" t="s">
        <v>20</v>
      </c>
      <c r="E99" s="8" t="s">
        <v>58</v>
      </c>
      <c r="F99" t="s">
        <v>59</v>
      </c>
      <c r="G99" t="s">
        <v>20</v>
      </c>
      <c r="H99" s="5">
        <f t="shared" si="3"/>
        <v>83</v>
      </c>
      <c r="I99" s="2">
        <v>59</v>
      </c>
      <c r="J99" s="2" t="str">
        <f t="shared" si="4"/>
        <v>2009</v>
      </c>
      <c r="K99" s="2">
        <v>1</v>
      </c>
      <c r="L99" s="2">
        <f t="shared" si="5"/>
        <v>1</v>
      </c>
      <c r="M99" s="23">
        <v>1</v>
      </c>
      <c r="N99" s="23">
        <v>0</v>
      </c>
      <c r="O99" s="23">
        <v>0</v>
      </c>
      <c r="P99" s="23">
        <v>0</v>
      </c>
      <c r="Q99" s="23">
        <v>0</v>
      </c>
    </row>
    <row r="100" spans="1:17" x14ac:dyDescent="0.2">
      <c r="A100" t="s">
        <v>245</v>
      </c>
      <c r="B100" t="s">
        <v>24</v>
      </c>
      <c r="C100" t="s">
        <v>20</v>
      </c>
      <c r="D100" t="s">
        <v>25</v>
      </c>
      <c r="E100" s="8" t="s">
        <v>58</v>
      </c>
      <c r="F100" t="s">
        <v>28</v>
      </c>
      <c r="G100" t="s">
        <v>25</v>
      </c>
      <c r="H100" s="5">
        <f t="shared" si="3"/>
        <v>491</v>
      </c>
      <c r="I100" s="2">
        <v>38</v>
      </c>
      <c r="J100" s="2" t="str">
        <f t="shared" si="4"/>
        <v>2012</v>
      </c>
      <c r="K100" s="2">
        <v>1</v>
      </c>
      <c r="L100" s="2">
        <f t="shared" si="5"/>
        <v>1</v>
      </c>
      <c r="M100" s="23">
        <v>1</v>
      </c>
      <c r="N100" s="23">
        <v>0</v>
      </c>
      <c r="O100" s="23">
        <v>0</v>
      </c>
      <c r="P100" s="23">
        <v>0</v>
      </c>
      <c r="Q100" s="23">
        <v>0</v>
      </c>
    </row>
    <row r="101" spans="1:17" x14ac:dyDescent="0.2">
      <c r="A101" t="s">
        <v>300</v>
      </c>
      <c r="B101" t="s">
        <v>24</v>
      </c>
      <c r="C101" t="s">
        <v>20</v>
      </c>
      <c r="D101" t="s">
        <v>25</v>
      </c>
      <c r="E101" s="8" t="s">
        <v>58</v>
      </c>
      <c r="F101" t="s">
        <v>20</v>
      </c>
      <c r="G101" t="s">
        <v>96</v>
      </c>
      <c r="H101" s="5">
        <f t="shared" si="3"/>
        <v>494</v>
      </c>
      <c r="I101" s="2">
        <v>35</v>
      </c>
      <c r="J101" s="2" t="str">
        <f t="shared" si="4"/>
        <v>2010</v>
      </c>
      <c r="K101" s="2">
        <v>1</v>
      </c>
      <c r="L101" s="2">
        <f t="shared" si="5"/>
        <v>0</v>
      </c>
      <c r="M101" s="23">
        <v>0</v>
      </c>
      <c r="N101" s="23">
        <v>0</v>
      </c>
      <c r="O101" s="23">
        <v>0</v>
      </c>
      <c r="P101" s="23">
        <v>0</v>
      </c>
      <c r="Q101" s="23">
        <v>0</v>
      </c>
    </row>
    <row r="102" spans="1:17" x14ac:dyDescent="0.2">
      <c r="A102" t="s">
        <v>64</v>
      </c>
      <c r="B102" t="s">
        <v>37</v>
      </c>
      <c r="C102" t="s">
        <v>15</v>
      </c>
      <c r="D102" t="s">
        <v>34</v>
      </c>
      <c r="E102" s="8" t="s">
        <v>65</v>
      </c>
      <c r="F102" t="s">
        <v>15</v>
      </c>
      <c r="G102" t="s">
        <v>56</v>
      </c>
      <c r="H102" s="5">
        <f t="shared" si="3"/>
        <v>932</v>
      </c>
      <c r="I102" s="2">
        <v>51</v>
      </c>
      <c r="J102" s="2" t="str">
        <f t="shared" si="4"/>
        <v>1994</v>
      </c>
      <c r="K102" s="2">
        <v>0</v>
      </c>
      <c r="L102" s="2">
        <f t="shared" si="5"/>
        <v>2</v>
      </c>
      <c r="M102" s="23">
        <v>0</v>
      </c>
      <c r="N102" s="23">
        <v>0</v>
      </c>
      <c r="O102" s="23">
        <v>1</v>
      </c>
      <c r="P102" s="23">
        <v>1</v>
      </c>
      <c r="Q102" s="23">
        <v>0</v>
      </c>
    </row>
    <row r="103" spans="1:17" x14ac:dyDescent="0.2">
      <c r="A103" t="s">
        <v>82</v>
      </c>
      <c r="B103" t="s">
        <v>37</v>
      </c>
      <c r="C103" t="s">
        <v>15</v>
      </c>
      <c r="D103" t="s">
        <v>34</v>
      </c>
      <c r="E103" s="8" t="s">
        <v>65</v>
      </c>
      <c r="F103" t="s">
        <v>62</v>
      </c>
      <c r="G103" t="s">
        <v>63</v>
      </c>
      <c r="H103" s="5">
        <f t="shared" si="3"/>
        <v>325</v>
      </c>
      <c r="I103" s="2">
        <v>58</v>
      </c>
      <c r="J103" s="2" t="str">
        <f t="shared" si="4"/>
        <v>1998</v>
      </c>
      <c r="K103" s="2">
        <v>0</v>
      </c>
      <c r="L103" s="2">
        <f t="shared" si="5"/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</row>
    <row r="104" spans="1:17" x14ac:dyDescent="0.2">
      <c r="A104" t="s">
        <v>92</v>
      </c>
      <c r="B104" t="s">
        <v>13</v>
      </c>
      <c r="C104" t="s">
        <v>14</v>
      </c>
      <c r="D104" t="s">
        <v>15</v>
      </c>
      <c r="E104" s="8" t="s">
        <v>65</v>
      </c>
      <c r="F104" t="s">
        <v>14</v>
      </c>
      <c r="G104" t="s">
        <v>15</v>
      </c>
      <c r="H104" s="5">
        <f t="shared" si="3"/>
        <v>1461</v>
      </c>
      <c r="I104" s="2">
        <v>64</v>
      </c>
      <c r="J104" s="2" t="str">
        <f t="shared" si="4"/>
        <v>1990</v>
      </c>
      <c r="K104" s="2">
        <v>0</v>
      </c>
      <c r="L104" s="2">
        <f t="shared" si="5"/>
        <v>3</v>
      </c>
      <c r="M104" s="23">
        <v>1</v>
      </c>
      <c r="N104" s="23">
        <v>0</v>
      </c>
      <c r="O104" s="23">
        <v>1</v>
      </c>
      <c r="P104" s="23">
        <v>1</v>
      </c>
      <c r="Q104" s="23">
        <v>0</v>
      </c>
    </row>
    <row r="105" spans="1:17" x14ac:dyDescent="0.2">
      <c r="A105" t="s">
        <v>124</v>
      </c>
      <c r="B105" t="s">
        <v>33</v>
      </c>
      <c r="C105" t="s">
        <v>34</v>
      </c>
      <c r="D105" t="s">
        <v>19</v>
      </c>
      <c r="E105" s="8" t="s">
        <v>65</v>
      </c>
      <c r="F105" t="s">
        <v>125</v>
      </c>
      <c r="G105" t="s">
        <v>19</v>
      </c>
      <c r="H105" s="5">
        <f t="shared" si="3"/>
        <v>646</v>
      </c>
      <c r="I105" s="2">
        <v>55</v>
      </c>
      <c r="J105" s="2" t="str">
        <f t="shared" si="4"/>
        <v>2004</v>
      </c>
      <c r="K105" s="2">
        <v>0</v>
      </c>
      <c r="L105" s="2">
        <f t="shared" si="5"/>
        <v>2</v>
      </c>
      <c r="M105" s="23">
        <v>0</v>
      </c>
      <c r="N105" s="23">
        <v>0</v>
      </c>
      <c r="O105" s="23">
        <v>1</v>
      </c>
      <c r="P105" s="23">
        <v>1</v>
      </c>
      <c r="Q105" s="23">
        <v>0</v>
      </c>
    </row>
    <row r="106" spans="1:17" x14ac:dyDescent="0.2">
      <c r="A106" t="s">
        <v>141</v>
      </c>
      <c r="B106" t="s">
        <v>33</v>
      </c>
      <c r="C106" t="s">
        <v>34</v>
      </c>
      <c r="D106" t="s">
        <v>19</v>
      </c>
      <c r="E106" s="8" t="s">
        <v>65</v>
      </c>
      <c r="F106" t="s">
        <v>68</v>
      </c>
      <c r="G106" t="s">
        <v>69</v>
      </c>
      <c r="H106" s="5">
        <f t="shared" si="3"/>
        <v>420</v>
      </c>
      <c r="I106" s="2">
        <v>54</v>
      </c>
      <c r="J106" s="2" t="str">
        <f t="shared" si="4"/>
        <v>2002</v>
      </c>
      <c r="K106" s="2">
        <v>0</v>
      </c>
      <c r="L106" s="2">
        <f t="shared" si="5"/>
        <v>1</v>
      </c>
      <c r="M106" s="23">
        <v>0</v>
      </c>
      <c r="N106" s="23">
        <v>0</v>
      </c>
      <c r="O106" s="23">
        <v>1</v>
      </c>
      <c r="P106" s="23">
        <v>0</v>
      </c>
      <c r="Q106" s="23">
        <v>0</v>
      </c>
    </row>
    <row r="107" spans="1:17" x14ac:dyDescent="0.2">
      <c r="A107" t="s">
        <v>173</v>
      </c>
      <c r="B107" t="s">
        <v>33</v>
      </c>
      <c r="C107" t="s">
        <v>34</v>
      </c>
      <c r="D107" t="s">
        <v>19</v>
      </c>
      <c r="E107" s="8" t="s">
        <v>65</v>
      </c>
      <c r="F107" t="s">
        <v>69</v>
      </c>
      <c r="G107" t="s">
        <v>125</v>
      </c>
      <c r="H107" s="5">
        <f t="shared" si="3"/>
        <v>458</v>
      </c>
      <c r="I107" s="2">
        <v>58</v>
      </c>
      <c r="J107" s="2" t="str">
        <f t="shared" si="4"/>
        <v>2003</v>
      </c>
      <c r="K107" s="2">
        <v>0</v>
      </c>
      <c r="L107" s="2">
        <f t="shared" si="5"/>
        <v>2</v>
      </c>
      <c r="M107" s="23">
        <v>0</v>
      </c>
      <c r="N107" s="23">
        <v>1</v>
      </c>
      <c r="O107" s="23">
        <v>1</v>
      </c>
      <c r="P107" s="23">
        <v>0</v>
      </c>
      <c r="Q107" s="23">
        <v>0</v>
      </c>
    </row>
    <row r="108" spans="1:17" x14ac:dyDescent="0.2">
      <c r="A108" t="s">
        <v>176</v>
      </c>
      <c r="B108" t="s">
        <v>37</v>
      </c>
      <c r="C108" t="s">
        <v>15</v>
      </c>
      <c r="D108" t="s">
        <v>34</v>
      </c>
      <c r="E108" s="8" t="s">
        <v>65</v>
      </c>
      <c r="F108" t="s">
        <v>63</v>
      </c>
      <c r="G108" t="s">
        <v>34</v>
      </c>
      <c r="H108" s="5">
        <f t="shared" si="3"/>
        <v>263</v>
      </c>
      <c r="I108" s="2">
        <v>56</v>
      </c>
      <c r="J108" s="2" t="str">
        <f t="shared" si="4"/>
        <v>1999</v>
      </c>
      <c r="K108" s="2">
        <v>0</v>
      </c>
      <c r="L108" s="2">
        <f t="shared" si="5"/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</row>
    <row r="109" spans="1:17" x14ac:dyDescent="0.2">
      <c r="A109" t="s">
        <v>299</v>
      </c>
      <c r="B109" t="s">
        <v>37</v>
      </c>
      <c r="C109" t="s">
        <v>15</v>
      </c>
      <c r="D109" t="s">
        <v>34</v>
      </c>
      <c r="E109" s="8" t="s">
        <v>65</v>
      </c>
      <c r="F109" t="s">
        <v>56</v>
      </c>
      <c r="G109" t="s">
        <v>62</v>
      </c>
      <c r="H109" s="5">
        <f t="shared" si="3"/>
        <v>672</v>
      </c>
      <c r="I109" s="2">
        <v>52</v>
      </c>
      <c r="J109" s="2" t="str">
        <f t="shared" si="4"/>
        <v>1996</v>
      </c>
      <c r="K109" s="2">
        <v>0</v>
      </c>
      <c r="L109" s="2">
        <f t="shared" si="5"/>
        <v>2</v>
      </c>
      <c r="M109" s="23">
        <v>1</v>
      </c>
      <c r="N109" s="23">
        <v>0</v>
      </c>
      <c r="O109" s="23">
        <v>0</v>
      </c>
      <c r="P109" s="23">
        <v>0</v>
      </c>
      <c r="Q109" s="23">
        <v>1</v>
      </c>
    </row>
    <row r="110" spans="1:17" x14ac:dyDescent="0.2">
      <c r="A110" t="s">
        <v>100</v>
      </c>
      <c r="B110" t="s">
        <v>33</v>
      </c>
      <c r="C110" t="s">
        <v>34</v>
      </c>
      <c r="D110" t="s">
        <v>19</v>
      </c>
      <c r="E110" t="s">
        <v>101</v>
      </c>
      <c r="F110" t="s">
        <v>34</v>
      </c>
      <c r="G110" t="s">
        <v>19</v>
      </c>
      <c r="H110" s="5">
        <f t="shared" si="3"/>
        <v>2191</v>
      </c>
      <c r="I110" s="2">
        <v>47</v>
      </c>
      <c r="J110" s="2" t="str">
        <f t="shared" si="4"/>
        <v>2000</v>
      </c>
      <c r="K110" s="2">
        <v>0</v>
      </c>
      <c r="L110" s="2">
        <f t="shared" si="5"/>
        <v>1</v>
      </c>
      <c r="M110" s="23">
        <v>0</v>
      </c>
      <c r="N110" s="23">
        <v>1</v>
      </c>
      <c r="O110" s="23">
        <v>0</v>
      </c>
      <c r="P110" s="23">
        <v>0</v>
      </c>
      <c r="Q110" s="23">
        <v>0</v>
      </c>
    </row>
    <row r="111" spans="1:17" x14ac:dyDescent="0.2">
      <c r="A111" t="s">
        <v>146</v>
      </c>
      <c r="B111" t="s">
        <v>13</v>
      </c>
      <c r="C111" t="s">
        <v>14</v>
      </c>
      <c r="D111" t="s">
        <v>15</v>
      </c>
      <c r="E111" t="s">
        <v>101</v>
      </c>
      <c r="F111" t="s">
        <v>14</v>
      </c>
      <c r="G111" t="s">
        <v>15</v>
      </c>
      <c r="H111" s="5">
        <f t="shared" si="3"/>
        <v>1461</v>
      </c>
      <c r="I111" s="2">
        <v>56</v>
      </c>
      <c r="J111" s="2" t="str">
        <f t="shared" si="4"/>
        <v>1990</v>
      </c>
      <c r="K111" s="2">
        <v>0</v>
      </c>
      <c r="L111" s="2">
        <f t="shared" si="5"/>
        <v>1</v>
      </c>
      <c r="M111" s="23">
        <v>0</v>
      </c>
      <c r="N111" s="23">
        <v>0</v>
      </c>
      <c r="O111" s="23">
        <v>0</v>
      </c>
      <c r="P111" s="23">
        <v>0</v>
      </c>
      <c r="Q111" s="23">
        <v>1</v>
      </c>
    </row>
    <row r="112" spans="1:17" x14ac:dyDescent="0.2">
      <c r="A112" t="s">
        <v>152</v>
      </c>
      <c r="B112" t="s">
        <v>24</v>
      </c>
      <c r="C112" t="s">
        <v>20</v>
      </c>
      <c r="D112" t="s">
        <v>25</v>
      </c>
      <c r="E112" t="s">
        <v>101</v>
      </c>
      <c r="F112" t="s">
        <v>20</v>
      </c>
      <c r="G112" t="s">
        <v>80</v>
      </c>
      <c r="H112" s="5">
        <f t="shared" si="3"/>
        <v>658</v>
      </c>
      <c r="I112" s="2">
        <v>48</v>
      </c>
      <c r="J112" s="2" t="str">
        <f t="shared" si="4"/>
        <v>2010</v>
      </c>
      <c r="K112" s="2">
        <v>0</v>
      </c>
      <c r="L112" s="2">
        <f t="shared" si="5"/>
        <v>3</v>
      </c>
      <c r="M112" s="23">
        <v>1</v>
      </c>
      <c r="N112" s="23">
        <v>1</v>
      </c>
      <c r="O112" s="23">
        <v>0</v>
      </c>
      <c r="P112" s="23">
        <v>0</v>
      </c>
      <c r="Q112" s="23">
        <v>1</v>
      </c>
    </row>
    <row r="113" spans="1:17" x14ac:dyDescent="0.2">
      <c r="A113" t="s">
        <v>216</v>
      </c>
      <c r="B113" t="s">
        <v>24</v>
      </c>
      <c r="C113" t="s">
        <v>20</v>
      </c>
      <c r="D113" t="s">
        <v>25</v>
      </c>
      <c r="E113" t="s">
        <v>101</v>
      </c>
      <c r="F113" t="s">
        <v>80</v>
      </c>
      <c r="G113" t="s">
        <v>25</v>
      </c>
      <c r="H113" s="5">
        <f t="shared" si="3"/>
        <v>803</v>
      </c>
      <c r="I113" s="2">
        <v>59</v>
      </c>
      <c r="J113" s="2" t="str">
        <f t="shared" si="4"/>
        <v>2011</v>
      </c>
      <c r="K113" s="2">
        <v>0</v>
      </c>
      <c r="L113" s="2">
        <f t="shared" si="5"/>
        <v>1</v>
      </c>
      <c r="M113" s="23">
        <v>0</v>
      </c>
      <c r="N113" s="23">
        <v>0</v>
      </c>
      <c r="O113" s="23">
        <v>0</v>
      </c>
      <c r="P113" s="23">
        <v>0</v>
      </c>
      <c r="Q113" s="23">
        <v>1</v>
      </c>
    </row>
    <row r="114" spans="1:17" x14ac:dyDescent="0.2">
      <c r="A114" t="s">
        <v>220</v>
      </c>
      <c r="B114" t="s">
        <v>37</v>
      </c>
      <c r="C114" t="s">
        <v>15</v>
      </c>
      <c r="D114" t="s">
        <v>34</v>
      </c>
      <c r="E114" t="s">
        <v>101</v>
      </c>
      <c r="F114" t="s">
        <v>56</v>
      </c>
      <c r="G114" t="s">
        <v>63</v>
      </c>
      <c r="H114" s="5">
        <f t="shared" si="3"/>
        <v>997</v>
      </c>
      <c r="I114" s="2">
        <v>41</v>
      </c>
      <c r="J114" s="2" t="str">
        <f t="shared" si="4"/>
        <v>1996</v>
      </c>
      <c r="K114" s="2">
        <v>0</v>
      </c>
      <c r="L114" s="2">
        <f t="shared" si="5"/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</row>
    <row r="115" spans="1:17" x14ac:dyDescent="0.2">
      <c r="A115" t="s">
        <v>258</v>
      </c>
      <c r="B115" t="s">
        <v>18</v>
      </c>
      <c r="C115" t="s">
        <v>19</v>
      </c>
      <c r="D115" t="s">
        <v>20</v>
      </c>
      <c r="E115" t="s">
        <v>101</v>
      </c>
      <c r="F115" t="s">
        <v>19</v>
      </c>
      <c r="G115" t="s">
        <v>89</v>
      </c>
      <c r="H115" s="5">
        <f t="shared" si="3"/>
        <v>668</v>
      </c>
      <c r="I115" s="2">
        <v>52</v>
      </c>
      <c r="J115" s="2" t="str">
        <f t="shared" si="4"/>
        <v>2006</v>
      </c>
      <c r="K115" s="2">
        <v>0</v>
      </c>
      <c r="L115" s="2">
        <f t="shared" si="5"/>
        <v>2</v>
      </c>
      <c r="M115" s="23">
        <v>0</v>
      </c>
      <c r="N115" s="23">
        <v>0</v>
      </c>
      <c r="O115" s="23">
        <v>1</v>
      </c>
      <c r="P115" s="23">
        <v>1</v>
      </c>
      <c r="Q115" s="23">
        <v>0</v>
      </c>
    </row>
    <row r="116" spans="1:17" x14ac:dyDescent="0.2">
      <c r="A116" t="s">
        <v>265</v>
      </c>
      <c r="B116" t="s">
        <v>37</v>
      </c>
      <c r="C116" t="s">
        <v>15</v>
      </c>
      <c r="D116" t="s">
        <v>34</v>
      </c>
      <c r="E116" t="s">
        <v>101</v>
      </c>
      <c r="F116" t="s">
        <v>63</v>
      </c>
      <c r="G116" t="s">
        <v>34</v>
      </c>
      <c r="H116" s="5">
        <f t="shared" si="3"/>
        <v>263</v>
      </c>
      <c r="I116" s="2">
        <v>51</v>
      </c>
      <c r="J116" s="2" t="str">
        <f t="shared" si="4"/>
        <v>1999</v>
      </c>
      <c r="K116" s="2">
        <v>0</v>
      </c>
      <c r="L116" s="2">
        <f t="shared" si="5"/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</row>
    <row r="117" spans="1:17" x14ac:dyDescent="0.2">
      <c r="A117" t="s">
        <v>172</v>
      </c>
      <c r="B117" t="s">
        <v>18</v>
      </c>
      <c r="C117" t="s">
        <v>19</v>
      </c>
      <c r="D117" t="s">
        <v>20</v>
      </c>
      <c r="E117" t="s">
        <v>101</v>
      </c>
      <c r="F117" t="s">
        <v>89</v>
      </c>
      <c r="G117" t="s">
        <v>20</v>
      </c>
      <c r="H117" s="5">
        <f t="shared" si="3"/>
        <v>793</v>
      </c>
      <c r="I117" s="2">
        <v>54</v>
      </c>
      <c r="J117" s="2" t="str">
        <f t="shared" si="4"/>
        <v>2008</v>
      </c>
      <c r="K117" s="2">
        <v>1</v>
      </c>
      <c r="L117" s="2">
        <f t="shared" si="5"/>
        <v>1</v>
      </c>
      <c r="M117" s="23">
        <v>1</v>
      </c>
      <c r="N117" s="23">
        <v>0</v>
      </c>
      <c r="O117" s="23">
        <v>0</v>
      </c>
      <c r="P117" s="23">
        <v>0</v>
      </c>
      <c r="Q117" s="23">
        <v>0</v>
      </c>
    </row>
    <row r="118" spans="1:17" x14ac:dyDescent="0.2">
      <c r="A118" t="s">
        <v>29</v>
      </c>
      <c r="B118" t="s">
        <v>13</v>
      </c>
      <c r="C118" t="s">
        <v>14</v>
      </c>
      <c r="D118" t="s">
        <v>15</v>
      </c>
      <c r="E118" t="s">
        <v>30</v>
      </c>
      <c r="F118" t="s">
        <v>14</v>
      </c>
      <c r="G118" t="s">
        <v>15</v>
      </c>
      <c r="H118" s="5">
        <f t="shared" si="3"/>
        <v>1461</v>
      </c>
      <c r="I118" s="2">
        <v>49</v>
      </c>
      <c r="J118" s="2" t="str">
        <f t="shared" si="4"/>
        <v>1990</v>
      </c>
      <c r="K118" s="2">
        <v>0</v>
      </c>
      <c r="L118" s="2">
        <f t="shared" si="5"/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</row>
    <row r="119" spans="1:17" x14ac:dyDescent="0.2">
      <c r="A119" t="s">
        <v>150</v>
      </c>
      <c r="B119" t="s">
        <v>37</v>
      </c>
      <c r="C119" t="s">
        <v>15</v>
      </c>
      <c r="D119" t="s">
        <v>34</v>
      </c>
      <c r="E119" t="s">
        <v>30</v>
      </c>
      <c r="F119" t="s">
        <v>151</v>
      </c>
      <c r="G119" t="s">
        <v>34</v>
      </c>
      <c r="H119" s="5">
        <f t="shared" si="3"/>
        <v>211</v>
      </c>
      <c r="I119" s="2">
        <v>51</v>
      </c>
      <c r="J119" s="2" t="str">
        <f t="shared" si="4"/>
        <v>1999</v>
      </c>
      <c r="K119" s="2">
        <v>0</v>
      </c>
      <c r="L119" s="2">
        <f t="shared" si="5"/>
        <v>1</v>
      </c>
      <c r="M119" s="23">
        <v>1</v>
      </c>
      <c r="N119" s="23">
        <v>0</v>
      </c>
      <c r="O119" s="23">
        <v>0</v>
      </c>
      <c r="P119" s="23">
        <v>0</v>
      </c>
      <c r="Q119" s="23">
        <v>0</v>
      </c>
    </row>
    <row r="120" spans="1:17" x14ac:dyDescent="0.2">
      <c r="A120" t="s">
        <v>166</v>
      </c>
      <c r="B120" t="s">
        <v>37</v>
      </c>
      <c r="C120" t="s">
        <v>15</v>
      </c>
      <c r="D120" t="s">
        <v>34</v>
      </c>
      <c r="E120" t="s">
        <v>30</v>
      </c>
      <c r="F120" t="s">
        <v>123</v>
      </c>
      <c r="G120" t="s">
        <v>151</v>
      </c>
      <c r="H120" s="5">
        <f t="shared" si="3"/>
        <v>122</v>
      </c>
      <c r="I120" s="2">
        <v>50</v>
      </c>
      <c r="J120" s="2" t="str">
        <f t="shared" si="4"/>
        <v>1999</v>
      </c>
      <c r="K120" s="2">
        <v>0</v>
      </c>
      <c r="L120" s="2">
        <f t="shared" si="5"/>
        <v>1</v>
      </c>
      <c r="M120" s="23">
        <v>0</v>
      </c>
      <c r="N120" s="23">
        <v>0</v>
      </c>
      <c r="O120" s="23">
        <v>1</v>
      </c>
      <c r="P120" s="23">
        <v>0</v>
      </c>
      <c r="Q120" s="23">
        <v>0</v>
      </c>
    </row>
    <row r="121" spans="1:17" x14ac:dyDescent="0.2">
      <c r="A121" t="s">
        <v>253</v>
      </c>
      <c r="B121" t="s">
        <v>33</v>
      </c>
      <c r="C121" t="s">
        <v>34</v>
      </c>
      <c r="D121" t="s">
        <v>19</v>
      </c>
      <c r="E121" t="s">
        <v>30</v>
      </c>
      <c r="F121" t="s">
        <v>230</v>
      </c>
      <c r="G121" t="s">
        <v>254</v>
      </c>
      <c r="H121" s="5">
        <f t="shared" si="3"/>
        <v>1372</v>
      </c>
      <c r="I121" s="2">
        <v>54</v>
      </c>
      <c r="J121" s="2" t="str">
        <f t="shared" si="4"/>
        <v>2000</v>
      </c>
      <c r="K121" s="2">
        <v>0</v>
      </c>
      <c r="L121" s="2">
        <f t="shared" si="5"/>
        <v>3</v>
      </c>
      <c r="M121" s="23">
        <v>1</v>
      </c>
      <c r="N121" s="23">
        <v>0</v>
      </c>
      <c r="O121" s="23">
        <v>1</v>
      </c>
      <c r="P121" s="23">
        <v>1</v>
      </c>
      <c r="Q121" s="23">
        <v>0</v>
      </c>
    </row>
    <row r="122" spans="1:17" x14ac:dyDescent="0.2">
      <c r="A122" t="s">
        <v>122</v>
      </c>
      <c r="B122" t="s">
        <v>37</v>
      </c>
      <c r="C122" t="s">
        <v>15</v>
      </c>
      <c r="D122" t="s">
        <v>34</v>
      </c>
      <c r="E122" t="s">
        <v>30</v>
      </c>
      <c r="F122" t="s">
        <v>15</v>
      </c>
      <c r="G122" t="s">
        <v>123</v>
      </c>
      <c r="H122" s="5">
        <f t="shared" si="3"/>
        <v>1859</v>
      </c>
      <c r="I122" s="2">
        <v>47</v>
      </c>
      <c r="J122" s="2" t="str">
        <f t="shared" si="4"/>
        <v>1994</v>
      </c>
      <c r="K122" s="2">
        <v>1</v>
      </c>
      <c r="L122" s="2">
        <f t="shared" si="5"/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</row>
    <row r="123" spans="1:17" x14ac:dyDescent="0.2">
      <c r="A123" t="s">
        <v>267</v>
      </c>
      <c r="B123" t="s">
        <v>18</v>
      </c>
      <c r="C123" t="s">
        <v>19</v>
      </c>
      <c r="D123" t="s">
        <v>20</v>
      </c>
      <c r="E123" t="s">
        <v>30</v>
      </c>
      <c r="F123" t="s">
        <v>19</v>
      </c>
      <c r="G123" t="s">
        <v>268</v>
      </c>
      <c r="H123" s="5">
        <f t="shared" si="3"/>
        <v>1397</v>
      </c>
      <c r="I123" s="2">
        <v>40</v>
      </c>
      <c r="J123" s="2" t="str">
        <f t="shared" si="4"/>
        <v>2006</v>
      </c>
      <c r="K123" s="2">
        <v>1</v>
      </c>
      <c r="L123" s="2">
        <f t="shared" si="5"/>
        <v>2</v>
      </c>
      <c r="M123" s="23">
        <v>0</v>
      </c>
      <c r="N123" s="23">
        <v>0</v>
      </c>
      <c r="O123" s="23">
        <v>1</v>
      </c>
      <c r="P123" s="23">
        <v>1</v>
      </c>
      <c r="Q123" s="23">
        <v>0</v>
      </c>
    </row>
    <row r="124" spans="1:17" x14ac:dyDescent="0.2">
      <c r="A124" t="s">
        <v>288</v>
      </c>
      <c r="B124" t="s">
        <v>33</v>
      </c>
      <c r="C124" t="s">
        <v>34</v>
      </c>
      <c r="D124" t="s">
        <v>19</v>
      </c>
      <c r="E124" t="s">
        <v>30</v>
      </c>
      <c r="F124" t="s">
        <v>36</v>
      </c>
      <c r="G124" t="s">
        <v>19</v>
      </c>
      <c r="H124" s="5">
        <f t="shared" si="3"/>
        <v>528</v>
      </c>
      <c r="I124" s="2">
        <v>49</v>
      </c>
      <c r="J124" s="2" t="str">
        <f t="shared" si="4"/>
        <v>2004</v>
      </c>
      <c r="K124" s="2">
        <v>1</v>
      </c>
      <c r="L124" s="2">
        <f t="shared" si="5"/>
        <v>1</v>
      </c>
      <c r="M124" s="23">
        <v>1</v>
      </c>
      <c r="N124" s="23">
        <v>0</v>
      </c>
      <c r="O124" s="23">
        <v>0</v>
      </c>
      <c r="P124" s="23">
        <v>0</v>
      </c>
      <c r="Q124" s="23">
        <v>0</v>
      </c>
    </row>
    <row r="125" spans="1:17" x14ac:dyDescent="0.2">
      <c r="A125" t="s">
        <v>304</v>
      </c>
      <c r="B125" t="s">
        <v>18</v>
      </c>
      <c r="C125" t="s">
        <v>19</v>
      </c>
      <c r="D125" t="s">
        <v>20</v>
      </c>
      <c r="E125" t="s">
        <v>30</v>
      </c>
      <c r="F125" t="s">
        <v>268</v>
      </c>
      <c r="G125" t="s">
        <v>20</v>
      </c>
      <c r="H125" s="5">
        <f t="shared" si="3"/>
        <v>64</v>
      </c>
      <c r="I125" s="2">
        <v>61</v>
      </c>
      <c r="J125" s="2" t="str">
        <f t="shared" si="4"/>
        <v>2010</v>
      </c>
      <c r="K125" s="2">
        <v>1</v>
      </c>
      <c r="L125" s="2">
        <f t="shared" si="5"/>
        <v>2</v>
      </c>
      <c r="M125" s="23">
        <v>0</v>
      </c>
      <c r="N125" s="23">
        <v>0</v>
      </c>
      <c r="O125" s="23">
        <v>1</v>
      </c>
      <c r="P125" s="23">
        <v>1</v>
      </c>
      <c r="Q125" s="23">
        <v>0</v>
      </c>
    </row>
    <row r="126" spans="1:17" x14ac:dyDescent="0.2">
      <c r="A126" t="s">
        <v>179</v>
      </c>
      <c r="B126" t="s">
        <v>37</v>
      </c>
      <c r="C126" t="s">
        <v>15</v>
      </c>
      <c r="D126" t="s">
        <v>34</v>
      </c>
      <c r="E126" t="s">
        <v>117</v>
      </c>
      <c r="F126" t="s">
        <v>15</v>
      </c>
      <c r="G126" t="s">
        <v>155</v>
      </c>
      <c r="H126" s="5">
        <f t="shared" si="3"/>
        <v>1392</v>
      </c>
      <c r="I126" s="2">
        <v>37</v>
      </c>
      <c r="J126" s="2" t="str">
        <f t="shared" si="4"/>
        <v>1994</v>
      </c>
      <c r="K126" s="2">
        <v>0</v>
      </c>
      <c r="L126" s="2">
        <f t="shared" si="5"/>
        <v>2</v>
      </c>
      <c r="M126" s="23">
        <v>0</v>
      </c>
      <c r="N126" s="23">
        <v>0</v>
      </c>
      <c r="O126" s="23">
        <v>1</v>
      </c>
      <c r="P126" s="23">
        <v>1</v>
      </c>
      <c r="Q126" s="23">
        <v>0</v>
      </c>
    </row>
    <row r="127" spans="1:17" x14ac:dyDescent="0.2">
      <c r="A127" t="s">
        <v>194</v>
      </c>
      <c r="B127" t="s">
        <v>37</v>
      </c>
      <c r="C127" t="s">
        <v>15</v>
      </c>
      <c r="D127" t="s">
        <v>34</v>
      </c>
      <c r="E127" t="s">
        <v>117</v>
      </c>
      <c r="F127" t="s">
        <v>195</v>
      </c>
      <c r="G127" t="s">
        <v>34</v>
      </c>
      <c r="H127" s="5">
        <f t="shared" si="3"/>
        <v>473</v>
      </c>
      <c r="I127" s="2">
        <v>49</v>
      </c>
      <c r="J127" s="2" t="str">
        <f t="shared" si="4"/>
        <v>1998</v>
      </c>
      <c r="K127" s="2">
        <v>0</v>
      </c>
      <c r="L127" s="2">
        <f t="shared" si="5"/>
        <v>1</v>
      </c>
      <c r="M127" s="23">
        <v>1</v>
      </c>
      <c r="N127" s="23">
        <v>0</v>
      </c>
      <c r="O127" s="23">
        <v>0</v>
      </c>
      <c r="P127" s="23">
        <v>0</v>
      </c>
      <c r="Q127" s="23">
        <v>0</v>
      </c>
    </row>
    <row r="128" spans="1:17" x14ac:dyDescent="0.2">
      <c r="A128" t="s">
        <v>200</v>
      </c>
      <c r="B128" t="s">
        <v>37</v>
      </c>
      <c r="C128" t="s">
        <v>15</v>
      </c>
      <c r="D128" t="s">
        <v>34</v>
      </c>
      <c r="E128" t="s">
        <v>117</v>
      </c>
      <c r="F128" t="s">
        <v>201</v>
      </c>
      <c r="G128" t="s">
        <v>195</v>
      </c>
      <c r="H128" s="5">
        <f t="shared" si="3"/>
        <v>112</v>
      </c>
      <c r="I128" s="2">
        <v>59</v>
      </c>
      <c r="J128" s="2" t="str">
        <f t="shared" si="4"/>
        <v>1998</v>
      </c>
      <c r="K128" s="2">
        <v>0</v>
      </c>
      <c r="L128" s="2">
        <f t="shared" si="5"/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</row>
    <row r="129" spans="1:17" x14ac:dyDescent="0.2">
      <c r="A129" t="s">
        <v>257</v>
      </c>
      <c r="B129" t="s">
        <v>33</v>
      </c>
      <c r="C129" t="s">
        <v>34</v>
      </c>
      <c r="D129" t="s">
        <v>19</v>
      </c>
      <c r="E129" t="s">
        <v>117</v>
      </c>
      <c r="F129" t="s">
        <v>116</v>
      </c>
      <c r="G129" t="s">
        <v>19</v>
      </c>
      <c r="H129" s="5">
        <f t="shared" si="3"/>
        <v>1726</v>
      </c>
      <c r="I129" s="2">
        <v>53</v>
      </c>
      <c r="J129" s="2" t="str">
        <f t="shared" si="4"/>
        <v>2001</v>
      </c>
      <c r="K129" s="2">
        <v>0</v>
      </c>
      <c r="L129" s="2">
        <f t="shared" si="5"/>
        <v>2</v>
      </c>
      <c r="M129" s="23">
        <v>1</v>
      </c>
      <c r="N129" s="23">
        <v>0</v>
      </c>
      <c r="O129" s="23">
        <v>0</v>
      </c>
      <c r="P129" s="23">
        <v>0</v>
      </c>
      <c r="Q129" s="23">
        <v>1</v>
      </c>
    </row>
    <row r="130" spans="1:17" x14ac:dyDescent="0.2">
      <c r="A130" t="s">
        <v>286</v>
      </c>
      <c r="B130" t="s">
        <v>18</v>
      </c>
      <c r="C130" t="s">
        <v>19</v>
      </c>
      <c r="D130" t="s">
        <v>20</v>
      </c>
      <c r="E130" t="s">
        <v>117</v>
      </c>
      <c r="F130" t="s">
        <v>91</v>
      </c>
      <c r="G130" t="s">
        <v>20</v>
      </c>
      <c r="H130" s="5">
        <f t="shared" ref="H130:H193" si="6">G130-F130</f>
        <v>1081</v>
      </c>
      <c r="I130" s="2">
        <v>39</v>
      </c>
      <c r="J130" s="2" t="str">
        <f t="shared" si="4"/>
        <v>2007</v>
      </c>
      <c r="K130" s="2">
        <v>0</v>
      </c>
      <c r="L130" s="2">
        <f t="shared" si="5"/>
        <v>2</v>
      </c>
      <c r="M130" s="23">
        <v>0</v>
      </c>
      <c r="N130" s="23">
        <v>0</v>
      </c>
      <c r="O130" s="23">
        <v>1</v>
      </c>
      <c r="P130" s="23">
        <v>1</v>
      </c>
      <c r="Q130" s="23">
        <v>0</v>
      </c>
    </row>
    <row r="131" spans="1:17" x14ac:dyDescent="0.2">
      <c r="A131" t="s">
        <v>238</v>
      </c>
      <c r="B131" t="s">
        <v>18</v>
      </c>
      <c r="C131" t="s">
        <v>19</v>
      </c>
      <c r="D131" t="s">
        <v>20</v>
      </c>
      <c r="E131" t="s">
        <v>117</v>
      </c>
      <c r="F131" t="s">
        <v>19</v>
      </c>
      <c r="G131" t="s">
        <v>109</v>
      </c>
      <c r="H131" s="5">
        <f t="shared" si="6"/>
        <v>381</v>
      </c>
      <c r="I131" s="2">
        <v>40</v>
      </c>
      <c r="J131" s="2" t="str">
        <f t="shared" ref="J131:J194" si="7">TEXT(F131, "yyyy")</f>
        <v>2006</v>
      </c>
      <c r="K131" s="2">
        <v>1</v>
      </c>
      <c r="L131" s="2">
        <f t="shared" ref="L131:L194" si="8">M131+N131+O131+P131+Q131</f>
        <v>1</v>
      </c>
      <c r="M131" s="23">
        <v>0</v>
      </c>
      <c r="N131" s="23">
        <v>0</v>
      </c>
      <c r="O131" s="23">
        <v>1</v>
      </c>
      <c r="P131" s="23">
        <v>0</v>
      </c>
      <c r="Q131" s="23">
        <v>0</v>
      </c>
    </row>
    <row r="132" spans="1:17" x14ac:dyDescent="0.2">
      <c r="A132" t="s">
        <v>289</v>
      </c>
      <c r="B132" t="s">
        <v>18</v>
      </c>
      <c r="C132" t="s">
        <v>19</v>
      </c>
      <c r="D132" t="s">
        <v>20</v>
      </c>
      <c r="E132" t="s">
        <v>290</v>
      </c>
      <c r="F132" t="s">
        <v>91</v>
      </c>
      <c r="G132" t="s">
        <v>20</v>
      </c>
      <c r="H132" s="5">
        <f t="shared" si="6"/>
        <v>1081</v>
      </c>
      <c r="I132" s="2">
        <v>44</v>
      </c>
      <c r="J132" s="2" t="str">
        <f t="shared" si="7"/>
        <v>2007</v>
      </c>
      <c r="K132" s="2">
        <v>1</v>
      </c>
      <c r="L132" s="2">
        <f t="shared" si="8"/>
        <v>0</v>
      </c>
      <c r="M132" s="23">
        <v>0</v>
      </c>
      <c r="N132" s="23">
        <v>0</v>
      </c>
      <c r="O132" s="23">
        <v>0</v>
      </c>
      <c r="P132" s="23">
        <v>0</v>
      </c>
      <c r="Q132" s="23">
        <v>0</v>
      </c>
    </row>
    <row r="133" spans="1:17" x14ac:dyDescent="0.2">
      <c r="A133" t="s">
        <v>40</v>
      </c>
      <c r="B133" t="s">
        <v>24</v>
      </c>
      <c r="C133" t="s">
        <v>20</v>
      </c>
      <c r="D133" t="s">
        <v>25</v>
      </c>
      <c r="E133" t="s">
        <v>41</v>
      </c>
      <c r="F133" t="s">
        <v>42</v>
      </c>
      <c r="G133" t="s">
        <v>25</v>
      </c>
      <c r="H133" s="5">
        <f t="shared" si="6"/>
        <v>275</v>
      </c>
      <c r="I133" s="2">
        <v>57</v>
      </c>
      <c r="J133" s="2" t="str">
        <f t="shared" si="7"/>
        <v>2013</v>
      </c>
      <c r="K133" s="2">
        <v>0</v>
      </c>
      <c r="L133" s="2">
        <f t="shared" si="8"/>
        <v>0</v>
      </c>
      <c r="M133" s="23">
        <v>0</v>
      </c>
      <c r="N133" s="23">
        <v>0</v>
      </c>
      <c r="O133" s="23">
        <v>0</v>
      </c>
      <c r="P133" s="23">
        <v>0</v>
      </c>
      <c r="Q133" s="23">
        <v>0</v>
      </c>
    </row>
    <row r="134" spans="1:17" x14ac:dyDescent="0.2">
      <c r="A134" t="s">
        <v>302</v>
      </c>
      <c r="B134" t="s">
        <v>33</v>
      </c>
      <c r="C134" t="s">
        <v>34</v>
      </c>
      <c r="D134" t="s">
        <v>19</v>
      </c>
      <c r="E134" t="s">
        <v>41</v>
      </c>
      <c r="F134" t="s">
        <v>303</v>
      </c>
      <c r="G134" t="s">
        <v>19</v>
      </c>
      <c r="H134" s="5">
        <f t="shared" si="6"/>
        <v>948</v>
      </c>
      <c r="I134" s="2">
        <v>44</v>
      </c>
      <c r="J134" s="2" t="str">
        <f t="shared" si="7"/>
        <v>2003</v>
      </c>
      <c r="K134" s="2">
        <v>0</v>
      </c>
      <c r="L134" s="2">
        <f t="shared" si="8"/>
        <v>2</v>
      </c>
      <c r="M134" s="23">
        <v>0</v>
      </c>
      <c r="N134" s="23">
        <v>0</v>
      </c>
      <c r="O134" s="23">
        <v>1</v>
      </c>
      <c r="P134" s="23">
        <v>1</v>
      </c>
      <c r="Q134" s="23">
        <v>0</v>
      </c>
    </row>
    <row r="135" spans="1:17" x14ac:dyDescent="0.2">
      <c r="A135" t="s">
        <v>291</v>
      </c>
      <c r="B135" t="s">
        <v>18</v>
      </c>
      <c r="C135" t="s">
        <v>19</v>
      </c>
      <c r="D135" t="s">
        <v>20</v>
      </c>
      <c r="E135" t="s">
        <v>41</v>
      </c>
      <c r="F135" t="s">
        <v>19</v>
      </c>
      <c r="G135" t="s">
        <v>20</v>
      </c>
      <c r="H135" s="5">
        <f t="shared" si="6"/>
        <v>1461</v>
      </c>
      <c r="I135" s="2">
        <v>37</v>
      </c>
      <c r="J135" s="2" t="str">
        <f t="shared" si="7"/>
        <v>2006</v>
      </c>
      <c r="K135" s="2">
        <v>1</v>
      </c>
      <c r="L135" s="2">
        <f t="shared" si="8"/>
        <v>1</v>
      </c>
      <c r="M135" s="23">
        <v>0</v>
      </c>
      <c r="N135" s="23">
        <v>0</v>
      </c>
      <c r="O135" s="23">
        <v>1</v>
      </c>
      <c r="P135" s="23">
        <v>0</v>
      </c>
      <c r="Q135" s="23">
        <v>0</v>
      </c>
    </row>
    <row r="136" spans="1:17" x14ac:dyDescent="0.2">
      <c r="A136" t="s">
        <v>12</v>
      </c>
      <c r="B136" t="s">
        <v>13</v>
      </c>
      <c r="C136" t="s">
        <v>14</v>
      </c>
      <c r="D136" t="s">
        <v>15</v>
      </c>
      <c r="E136" t="s">
        <v>16</v>
      </c>
      <c r="F136" t="s">
        <v>14</v>
      </c>
      <c r="G136" t="s">
        <v>15</v>
      </c>
      <c r="H136" s="5">
        <f t="shared" si="6"/>
        <v>1461</v>
      </c>
      <c r="I136" s="2">
        <v>59</v>
      </c>
      <c r="J136" s="2" t="str">
        <f t="shared" si="7"/>
        <v>1990</v>
      </c>
      <c r="K136" s="2">
        <v>0</v>
      </c>
      <c r="L136" s="2">
        <f t="shared" si="8"/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</row>
    <row r="137" spans="1:17" x14ac:dyDescent="0.2">
      <c r="A137" t="s">
        <v>141</v>
      </c>
      <c r="B137" t="s">
        <v>33</v>
      </c>
      <c r="C137" t="s">
        <v>34</v>
      </c>
      <c r="D137" t="s">
        <v>19</v>
      </c>
      <c r="E137" t="s">
        <v>26</v>
      </c>
      <c r="F137" t="s">
        <v>34</v>
      </c>
      <c r="G137" t="s">
        <v>68</v>
      </c>
      <c r="H137" s="5">
        <f t="shared" si="6"/>
        <v>667</v>
      </c>
      <c r="I137" s="2">
        <v>52</v>
      </c>
      <c r="J137" s="2" t="str">
        <f t="shared" si="7"/>
        <v>2000</v>
      </c>
      <c r="K137" s="2">
        <v>0</v>
      </c>
      <c r="L137" s="2">
        <f t="shared" si="8"/>
        <v>1</v>
      </c>
      <c r="M137" s="23">
        <v>0</v>
      </c>
      <c r="N137" s="23">
        <v>0</v>
      </c>
      <c r="O137" s="23">
        <v>1</v>
      </c>
      <c r="P137" s="23">
        <v>0</v>
      </c>
      <c r="Q137" s="23">
        <v>0</v>
      </c>
    </row>
    <row r="138" spans="1:17" x14ac:dyDescent="0.2">
      <c r="A138" t="s">
        <v>158</v>
      </c>
      <c r="B138" t="s">
        <v>18</v>
      </c>
      <c r="C138" t="s">
        <v>19</v>
      </c>
      <c r="D138" t="s">
        <v>20</v>
      </c>
      <c r="E138" t="s">
        <v>26</v>
      </c>
      <c r="F138" t="s">
        <v>91</v>
      </c>
      <c r="G138" t="s">
        <v>149</v>
      </c>
      <c r="H138" s="5">
        <f t="shared" si="6"/>
        <v>717</v>
      </c>
      <c r="I138" s="2">
        <v>59</v>
      </c>
      <c r="J138" s="2" t="str">
        <f t="shared" si="7"/>
        <v>2007</v>
      </c>
      <c r="K138" s="2">
        <v>0</v>
      </c>
      <c r="L138" s="2">
        <f t="shared" si="8"/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v>0</v>
      </c>
    </row>
    <row r="139" spans="1:17" x14ac:dyDescent="0.2">
      <c r="A139" t="s">
        <v>253</v>
      </c>
      <c r="B139" t="s">
        <v>33</v>
      </c>
      <c r="C139" t="s">
        <v>34</v>
      </c>
      <c r="D139" t="s">
        <v>19</v>
      </c>
      <c r="E139" t="s">
        <v>26</v>
      </c>
      <c r="F139" t="s">
        <v>254</v>
      </c>
      <c r="G139" t="s">
        <v>19</v>
      </c>
      <c r="H139" s="5">
        <f t="shared" si="6"/>
        <v>526</v>
      </c>
      <c r="I139" s="2">
        <v>57</v>
      </c>
      <c r="J139" s="2" t="str">
        <f t="shared" si="7"/>
        <v>2004</v>
      </c>
      <c r="K139" s="2">
        <v>0</v>
      </c>
      <c r="L139" s="2">
        <f t="shared" si="8"/>
        <v>3</v>
      </c>
      <c r="M139" s="23">
        <v>1</v>
      </c>
      <c r="N139" s="23">
        <v>0</v>
      </c>
      <c r="O139" s="23">
        <v>1</v>
      </c>
      <c r="P139" s="23">
        <v>1</v>
      </c>
      <c r="Q139" s="23">
        <v>0</v>
      </c>
    </row>
    <row r="140" spans="1:17" x14ac:dyDescent="0.2">
      <c r="A140" t="s">
        <v>253</v>
      </c>
      <c r="B140" t="s">
        <v>24</v>
      </c>
      <c r="C140" t="s">
        <v>20</v>
      </c>
      <c r="D140" t="s">
        <v>25</v>
      </c>
      <c r="E140" t="s">
        <v>26</v>
      </c>
      <c r="F140" t="s">
        <v>20</v>
      </c>
      <c r="G140" t="s">
        <v>219</v>
      </c>
      <c r="H140" s="5">
        <f t="shared" si="6"/>
        <v>309</v>
      </c>
      <c r="I140" s="2">
        <v>63</v>
      </c>
      <c r="J140" s="2" t="str">
        <f t="shared" si="7"/>
        <v>2010</v>
      </c>
      <c r="K140" s="2">
        <v>0</v>
      </c>
      <c r="L140" s="2">
        <f t="shared" si="8"/>
        <v>3</v>
      </c>
      <c r="M140" s="23">
        <v>1</v>
      </c>
      <c r="N140" s="23">
        <v>0</v>
      </c>
      <c r="O140" s="23">
        <v>0</v>
      </c>
      <c r="P140" s="23">
        <v>1</v>
      </c>
      <c r="Q140" s="23">
        <v>1</v>
      </c>
    </row>
    <row r="141" spans="1:17" x14ac:dyDescent="0.2">
      <c r="A141" t="s">
        <v>259</v>
      </c>
      <c r="B141" t="s">
        <v>13</v>
      </c>
      <c r="C141" t="s">
        <v>14</v>
      </c>
      <c r="D141" t="s">
        <v>15</v>
      </c>
      <c r="E141" t="s">
        <v>26</v>
      </c>
      <c r="F141" t="s">
        <v>14</v>
      </c>
      <c r="G141" t="s">
        <v>15</v>
      </c>
      <c r="H141" s="5">
        <f t="shared" si="6"/>
        <v>1461</v>
      </c>
      <c r="I141" s="2">
        <v>57</v>
      </c>
      <c r="J141" s="2" t="str">
        <f t="shared" si="7"/>
        <v>1990</v>
      </c>
      <c r="K141" s="2">
        <v>0</v>
      </c>
      <c r="L141" s="2">
        <f t="shared" si="8"/>
        <v>2</v>
      </c>
      <c r="M141" s="23">
        <v>0</v>
      </c>
      <c r="N141" s="23">
        <v>0</v>
      </c>
      <c r="O141" s="23">
        <v>1</v>
      </c>
      <c r="P141" s="23">
        <v>1</v>
      </c>
      <c r="Q141" s="23">
        <v>0</v>
      </c>
    </row>
    <row r="142" spans="1:17" x14ac:dyDescent="0.2">
      <c r="A142" t="s">
        <v>287</v>
      </c>
      <c r="B142" t="s">
        <v>37</v>
      </c>
      <c r="C142" t="s">
        <v>15</v>
      </c>
      <c r="D142" t="s">
        <v>34</v>
      </c>
      <c r="E142" t="s">
        <v>26</v>
      </c>
      <c r="F142" t="s">
        <v>248</v>
      </c>
      <c r="G142" t="s">
        <v>62</v>
      </c>
      <c r="H142" s="5">
        <f t="shared" si="6"/>
        <v>197</v>
      </c>
      <c r="I142" s="2">
        <v>62</v>
      </c>
      <c r="J142" s="2" t="str">
        <f t="shared" si="7"/>
        <v>1998</v>
      </c>
      <c r="K142" s="2">
        <v>0</v>
      </c>
      <c r="L142" s="2">
        <f t="shared" si="8"/>
        <v>1</v>
      </c>
      <c r="M142" s="23">
        <v>1</v>
      </c>
      <c r="N142" s="23">
        <v>0</v>
      </c>
      <c r="O142" s="23">
        <v>0</v>
      </c>
      <c r="P142" s="23">
        <v>0</v>
      </c>
      <c r="Q142" s="23">
        <v>0</v>
      </c>
    </row>
    <row r="143" spans="1:17" x14ac:dyDescent="0.2">
      <c r="A143" t="s">
        <v>297</v>
      </c>
      <c r="B143" t="s">
        <v>18</v>
      </c>
      <c r="C143" t="s">
        <v>19</v>
      </c>
      <c r="D143" t="s">
        <v>20</v>
      </c>
      <c r="E143" t="s">
        <v>26</v>
      </c>
      <c r="F143" t="s">
        <v>149</v>
      </c>
      <c r="G143" t="s">
        <v>20</v>
      </c>
      <c r="H143" s="5">
        <f t="shared" si="6"/>
        <v>364</v>
      </c>
      <c r="I143" s="2">
        <v>55</v>
      </c>
      <c r="J143" s="2" t="str">
        <f t="shared" si="7"/>
        <v>2009</v>
      </c>
      <c r="K143" s="2">
        <v>0</v>
      </c>
      <c r="L143" s="2">
        <f t="shared" si="8"/>
        <v>2</v>
      </c>
      <c r="M143" s="23">
        <v>1</v>
      </c>
      <c r="N143" s="23">
        <v>0</v>
      </c>
      <c r="O143" s="23">
        <v>1</v>
      </c>
      <c r="P143" s="23">
        <v>0</v>
      </c>
      <c r="Q143" s="23">
        <v>0</v>
      </c>
    </row>
    <row r="144" spans="1:17" x14ac:dyDescent="0.2">
      <c r="A144" t="s">
        <v>71</v>
      </c>
      <c r="B144" t="s">
        <v>33</v>
      </c>
      <c r="C144" t="s">
        <v>34</v>
      </c>
      <c r="D144" t="s">
        <v>19</v>
      </c>
      <c r="E144" t="s">
        <v>26</v>
      </c>
      <c r="F144" t="s">
        <v>68</v>
      </c>
      <c r="G144" t="s">
        <v>36</v>
      </c>
      <c r="H144" s="5">
        <f t="shared" si="6"/>
        <v>996</v>
      </c>
      <c r="I144" s="2">
        <v>50</v>
      </c>
      <c r="J144" s="2" t="str">
        <f t="shared" si="7"/>
        <v>2002</v>
      </c>
      <c r="K144" s="2">
        <v>1</v>
      </c>
      <c r="L144" s="2">
        <f t="shared" si="8"/>
        <v>2</v>
      </c>
      <c r="M144" s="23">
        <v>0</v>
      </c>
      <c r="N144" s="23">
        <v>0</v>
      </c>
      <c r="O144" s="23">
        <v>1</v>
      </c>
      <c r="P144" s="23">
        <v>1</v>
      </c>
      <c r="Q144" s="23">
        <v>0</v>
      </c>
    </row>
    <row r="145" spans="1:17" x14ac:dyDescent="0.2">
      <c r="A145" t="s">
        <v>90</v>
      </c>
      <c r="B145" t="s">
        <v>18</v>
      </c>
      <c r="C145" t="s">
        <v>19</v>
      </c>
      <c r="D145" t="s">
        <v>20</v>
      </c>
      <c r="E145" t="s">
        <v>26</v>
      </c>
      <c r="F145" t="s">
        <v>19</v>
      </c>
      <c r="G145" t="s">
        <v>91</v>
      </c>
      <c r="H145" s="5">
        <f t="shared" si="6"/>
        <v>380</v>
      </c>
      <c r="I145" s="2">
        <v>50</v>
      </c>
      <c r="J145" s="2" t="str">
        <f t="shared" si="7"/>
        <v>2006</v>
      </c>
      <c r="K145" s="2">
        <v>1</v>
      </c>
      <c r="L145" s="2">
        <f t="shared" si="8"/>
        <v>3</v>
      </c>
      <c r="M145" s="23">
        <v>1</v>
      </c>
      <c r="N145" s="23">
        <v>0</v>
      </c>
      <c r="O145" s="23">
        <v>1</v>
      </c>
      <c r="P145" s="23">
        <v>1</v>
      </c>
      <c r="Q145" s="23">
        <v>0</v>
      </c>
    </row>
    <row r="146" spans="1:17" x14ac:dyDescent="0.2">
      <c r="A146" t="s">
        <v>72</v>
      </c>
      <c r="B146" t="s">
        <v>24</v>
      </c>
      <c r="C146" t="s">
        <v>20</v>
      </c>
      <c r="D146" t="s">
        <v>25</v>
      </c>
      <c r="E146" t="s">
        <v>73</v>
      </c>
      <c r="F146" t="s">
        <v>42</v>
      </c>
      <c r="G146" t="s">
        <v>25</v>
      </c>
      <c r="H146" s="5">
        <f t="shared" si="6"/>
        <v>275</v>
      </c>
      <c r="I146" s="2">
        <v>49</v>
      </c>
      <c r="J146" s="2" t="str">
        <f t="shared" si="7"/>
        <v>2013</v>
      </c>
      <c r="K146" s="2">
        <v>0</v>
      </c>
      <c r="L146" s="2">
        <f t="shared" si="8"/>
        <v>2</v>
      </c>
      <c r="M146" s="23">
        <v>0</v>
      </c>
      <c r="N146" s="23">
        <v>0</v>
      </c>
      <c r="O146" s="23">
        <v>1</v>
      </c>
      <c r="P146" s="23">
        <v>0</v>
      </c>
      <c r="Q146" s="23">
        <v>1</v>
      </c>
    </row>
    <row r="147" spans="1:17" x14ac:dyDescent="0.2">
      <c r="A147" t="s">
        <v>142</v>
      </c>
      <c r="B147" t="s">
        <v>18</v>
      </c>
      <c r="C147" t="s">
        <v>19</v>
      </c>
      <c r="D147" t="s">
        <v>20</v>
      </c>
      <c r="E147" t="s">
        <v>52</v>
      </c>
      <c r="F147" t="s">
        <v>53</v>
      </c>
      <c r="G147" t="s">
        <v>89</v>
      </c>
      <c r="H147" s="5">
        <f t="shared" si="6"/>
        <v>543</v>
      </c>
      <c r="I147" s="2">
        <v>40</v>
      </c>
      <c r="J147" s="2" t="str">
        <f t="shared" si="7"/>
        <v>2006</v>
      </c>
      <c r="K147" s="2">
        <v>0</v>
      </c>
      <c r="L147" s="2">
        <f t="shared" si="8"/>
        <v>3</v>
      </c>
      <c r="M147" s="23">
        <v>1</v>
      </c>
      <c r="N147" s="23">
        <v>0</v>
      </c>
      <c r="O147" s="23">
        <v>1</v>
      </c>
      <c r="P147" s="23">
        <v>1</v>
      </c>
      <c r="Q147" s="23">
        <v>0</v>
      </c>
    </row>
    <row r="148" spans="1:17" x14ac:dyDescent="0.2">
      <c r="A148" t="s">
        <v>198</v>
      </c>
      <c r="B148" t="s">
        <v>18</v>
      </c>
      <c r="C148" t="s">
        <v>19</v>
      </c>
      <c r="D148" t="s">
        <v>20</v>
      </c>
      <c r="E148" t="s">
        <v>52</v>
      </c>
      <c r="F148" t="s">
        <v>89</v>
      </c>
      <c r="G148" t="s">
        <v>20</v>
      </c>
      <c r="H148" s="5">
        <f t="shared" si="6"/>
        <v>793</v>
      </c>
      <c r="I148" s="2">
        <v>58</v>
      </c>
      <c r="J148" s="2" t="str">
        <f t="shared" si="7"/>
        <v>2008</v>
      </c>
      <c r="K148" s="2">
        <v>0</v>
      </c>
      <c r="L148" s="2">
        <f t="shared" si="8"/>
        <v>2</v>
      </c>
      <c r="M148" s="23">
        <v>1</v>
      </c>
      <c r="N148" s="23">
        <v>0</v>
      </c>
      <c r="O148" s="23">
        <v>0</v>
      </c>
      <c r="P148" s="23">
        <v>0</v>
      </c>
      <c r="Q148" s="23">
        <v>1</v>
      </c>
    </row>
    <row r="149" spans="1:17" x14ac:dyDescent="0.2">
      <c r="A149" t="s">
        <v>200</v>
      </c>
      <c r="B149" t="s">
        <v>37</v>
      </c>
      <c r="C149" t="s">
        <v>15</v>
      </c>
      <c r="D149" t="s">
        <v>34</v>
      </c>
      <c r="E149" t="s">
        <v>52</v>
      </c>
      <c r="F149" t="s">
        <v>62</v>
      </c>
      <c r="G149" t="s">
        <v>34</v>
      </c>
      <c r="H149" s="5">
        <f t="shared" si="6"/>
        <v>588</v>
      </c>
      <c r="I149" s="2">
        <v>59</v>
      </c>
      <c r="J149" s="2" t="str">
        <f t="shared" si="7"/>
        <v>1998</v>
      </c>
      <c r="K149" s="2">
        <v>0</v>
      </c>
      <c r="L149" s="2">
        <f t="shared" si="8"/>
        <v>0</v>
      </c>
      <c r="M149" s="23">
        <v>0</v>
      </c>
      <c r="N149" s="23">
        <v>0</v>
      </c>
      <c r="O149" s="23">
        <v>0</v>
      </c>
      <c r="P149" s="23">
        <v>0</v>
      </c>
      <c r="Q149" s="23">
        <v>0</v>
      </c>
    </row>
    <row r="150" spans="1:17" x14ac:dyDescent="0.2">
      <c r="A150" t="s">
        <v>257</v>
      </c>
      <c r="B150" t="s">
        <v>33</v>
      </c>
      <c r="C150" t="s">
        <v>34</v>
      </c>
      <c r="D150" t="s">
        <v>19</v>
      </c>
      <c r="E150" t="s">
        <v>52</v>
      </c>
      <c r="F150" t="s">
        <v>116</v>
      </c>
      <c r="G150" t="s">
        <v>19</v>
      </c>
      <c r="H150" s="5">
        <f t="shared" si="6"/>
        <v>1726</v>
      </c>
      <c r="I150" s="2">
        <v>53</v>
      </c>
      <c r="J150" s="2" t="str">
        <f t="shared" si="7"/>
        <v>2001</v>
      </c>
      <c r="K150" s="2">
        <v>0</v>
      </c>
      <c r="L150" s="2">
        <f t="shared" si="8"/>
        <v>2</v>
      </c>
      <c r="M150" s="23">
        <v>1</v>
      </c>
      <c r="N150" s="23">
        <v>0</v>
      </c>
      <c r="O150" s="23">
        <v>0</v>
      </c>
      <c r="P150" s="23">
        <v>0</v>
      </c>
      <c r="Q150" s="23">
        <v>1</v>
      </c>
    </row>
    <row r="151" spans="1:17" x14ac:dyDescent="0.2">
      <c r="A151" t="s">
        <v>51</v>
      </c>
      <c r="B151" t="s">
        <v>18</v>
      </c>
      <c r="C151" t="s">
        <v>19</v>
      </c>
      <c r="D151" t="s">
        <v>20</v>
      </c>
      <c r="E151" t="s">
        <v>52</v>
      </c>
      <c r="F151" t="s">
        <v>19</v>
      </c>
      <c r="G151" t="s">
        <v>53</v>
      </c>
      <c r="H151" s="5">
        <f t="shared" si="6"/>
        <v>125</v>
      </c>
      <c r="I151" s="2">
        <v>53</v>
      </c>
      <c r="J151" s="2" t="str">
        <f t="shared" si="7"/>
        <v>2006</v>
      </c>
      <c r="K151" s="2">
        <v>1</v>
      </c>
      <c r="L151" s="2">
        <f t="shared" si="8"/>
        <v>2</v>
      </c>
      <c r="M151" s="23">
        <v>1</v>
      </c>
      <c r="N151" s="23">
        <v>0</v>
      </c>
      <c r="O151" s="23">
        <v>0</v>
      </c>
      <c r="P151" s="23">
        <v>0</v>
      </c>
      <c r="Q151" s="23">
        <v>1</v>
      </c>
    </row>
    <row r="152" spans="1:17" x14ac:dyDescent="0.2">
      <c r="A152" t="s">
        <v>119</v>
      </c>
      <c r="B152" t="s">
        <v>24</v>
      </c>
      <c r="C152" t="s">
        <v>20</v>
      </c>
      <c r="D152" t="s">
        <v>25</v>
      </c>
      <c r="E152" t="s">
        <v>120</v>
      </c>
      <c r="F152" t="s">
        <v>121</v>
      </c>
      <c r="G152" t="s">
        <v>25</v>
      </c>
      <c r="H152" s="5">
        <f t="shared" si="6"/>
        <v>308</v>
      </c>
      <c r="I152" s="2">
        <v>50</v>
      </c>
      <c r="J152" s="2" t="str">
        <f t="shared" si="7"/>
        <v>2013</v>
      </c>
      <c r="K152" s="2">
        <v>0</v>
      </c>
      <c r="L152" s="2">
        <f t="shared" si="8"/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</row>
    <row r="153" spans="1:17" x14ac:dyDescent="0.2">
      <c r="A153" t="s">
        <v>204</v>
      </c>
      <c r="B153" t="s">
        <v>24</v>
      </c>
      <c r="C153" t="s">
        <v>20</v>
      </c>
      <c r="D153" t="s">
        <v>25</v>
      </c>
      <c r="E153" t="s">
        <v>120</v>
      </c>
      <c r="F153" t="s">
        <v>96</v>
      </c>
      <c r="G153" t="s">
        <v>205</v>
      </c>
      <c r="H153" s="5">
        <f t="shared" si="6"/>
        <v>651</v>
      </c>
      <c r="I153" s="2">
        <v>52</v>
      </c>
      <c r="J153" s="2" t="str">
        <f t="shared" si="7"/>
        <v>2011</v>
      </c>
      <c r="K153" s="2">
        <v>0</v>
      </c>
      <c r="L153" s="2">
        <f t="shared" si="8"/>
        <v>1</v>
      </c>
      <c r="M153" s="23">
        <v>0</v>
      </c>
      <c r="N153" s="23">
        <v>1</v>
      </c>
      <c r="O153" s="23">
        <v>0</v>
      </c>
      <c r="P153" s="23">
        <v>0</v>
      </c>
      <c r="Q153" s="23">
        <v>0</v>
      </c>
    </row>
    <row r="154" spans="1:17" x14ac:dyDescent="0.2">
      <c r="A154" t="s">
        <v>60</v>
      </c>
      <c r="B154" t="s">
        <v>13</v>
      </c>
      <c r="C154" t="s">
        <v>14</v>
      </c>
      <c r="D154" t="s">
        <v>15</v>
      </c>
      <c r="E154" t="s">
        <v>55</v>
      </c>
      <c r="F154" t="s">
        <v>61</v>
      </c>
      <c r="G154" t="s">
        <v>15</v>
      </c>
      <c r="H154" s="5">
        <f t="shared" si="6"/>
        <v>529</v>
      </c>
      <c r="I154" s="2">
        <v>51</v>
      </c>
      <c r="J154" s="2" t="str">
        <f t="shared" si="7"/>
        <v>1992</v>
      </c>
      <c r="K154" s="2">
        <v>0</v>
      </c>
      <c r="L154" s="2">
        <f t="shared" si="8"/>
        <v>3</v>
      </c>
      <c r="M154" s="23">
        <v>1</v>
      </c>
      <c r="N154" s="23">
        <v>0</v>
      </c>
      <c r="O154" s="23">
        <v>1</v>
      </c>
      <c r="P154" s="23">
        <v>1</v>
      </c>
      <c r="Q154" s="23">
        <v>0</v>
      </c>
    </row>
    <row r="155" spans="1:17" x14ac:dyDescent="0.2">
      <c r="A155" t="s">
        <v>79</v>
      </c>
      <c r="B155" t="s">
        <v>24</v>
      </c>
      <c r="C155" t="s">
        <v>20</v>
      </c>
      <c r="D155" t="s">
        <v>25</v>
      </c>
      <c r="E155" t="s">
        <v>55</v>
      </c>
      <c r="F155" t="s">
        <v>80</v>
      </c>
      <c r="G155" t="s">
        <v>81</v>
      </c>
      <c r="H155" s="5">
        <f t="shared" si="6"/>
        <v>476</v>
      </c>
      <c r="I155" s="2">
        <v>47</v>
      </c>
      <c r="J155" s="2" t="str">
        <f t="shared" si="7"/>
        <v>2011</v>
      </c>
      <c r="K155" s="2">
        <v>0</v>
      </c>
      <c r="L155" s="2">
        <f t="shared" si="8"/>
        <v>2</v>
      </c>
      <c r="M155" s="23">
        <v>0</v>
      </c>
      <c r="N155" s="23">
        <v>0</v>
      </c>
      <c r="O155" s="23">
        <v>1</v>
      </c>
      <c r="P155" s="23">
        <v>1</v>
      </c>
      <c r="Q155" s="23">
        <v>0</v>
      </c>
    </row>
    <row r="156" spans="1:17" x14ac:dyDescent="0.2">
      <c r="A156" t="s">
        <v>84</v>
      </c>
      <c r="B156" t="s">
        <v>33</v>
      </c>
      <c r="C156" t="s">
        <v>34</v>
      </c>
      <c r="D156" t="s">
        <v>19</v>
      </c>
      <c r="E156" t="s">
        <v>55</v>
      </c>
      <c r="F156" t="s">
        <v>69</v>
      </c>
      <c r="G156" t="s">
        <v>87</v>
      </c>
      <c r="H156" s="5">
        <f t="shared" si="6"/>
        <v>1017</v>
      </c>
      <c r="I156" s="2">
        <v>62</v>
      </c>
      <c r="J156" s="2" t="str">
        <f t="shared" si="7"/>
        <v>2003</v>
      </c>
      <c r="K156" s="2">
        <v>0</v>
      </c>
      <c r="L156" s="2">
        <f t="shared" si="8"/>
        <v>3</v>
      </c>
      <c r="M156" s="23">
        <v>0</v>
      </c>
      <c r="N156" s="23">
        <v>1</v>
      </c>
      <c r="O156" s="23">
        <v>1</v>
      </c>
      <c r="P156" s="23">
        <v>1</v>
      </c>
      <c r="Q156" s="23">
        <v>0</v>
      </c>
    </row>
    <row r="157" spans="1:17" x14ac:dyDescent="0.2">
      <c r="A157" t="s">
        <v>221</v>
      </c>
      <c r="B157" t="s">
        <v>37</v>
      </c>
      <c r="C157" t="s">
        <v>15</v>
      </c>
      <c r="D157" t="s">
        <v>34</v>
      </c>
      <c r="E157" t="s">
        <v>55</v>
      </c>
      <c r="F157" t="s">
        <v>222</v>
      </c>
      <c r="G157" t="s">
        <v>56</v>
      </c>
      <c r="H157" s="5">
        <f t="shared" si="6"/>
        <v>733</v>
      </c>
      <c r="I157" s="2">
        <v>65</v>
      </c>
      <c r="J157" s="2" t="str">
        <f t="shared" si="7"/>
        <v>1994</v>
      </c>
      <c r="K157" s="2">
        <v>0</v>
      </c>
      <c r="L157" s="2">
        <f t="shared" si="8"/>
        <v>3</v>
      </c>
      <c r="M157" s="23">
        <v>1</v>
      </c>
      <c r="N157" s="23">
        <v>0</v>
      </c>
      <c r="O157" s="23">
        <v>1</v>
      </c>
      <c r="P157" s="23">
        <v>1</v>
      </c>
      <c r="Q157" s="23">
        <v>0</v>
      </c>
    </row>
    <row r="158" spans="1:17" x14ac:dyDescent="0.2">
      <c r="A158" t="s">
        <v>266</v>
      </c>
      <c r="B158" t="s">
        <v>37</v>
      </c>
      <c r="C158" t="s">
        <v>15</v>
      </c>
      <c r="D158" t="s">
        <v>34</v>
      </c>
      <c r="E158" t="s">
        <v>55</v>
      </c>
      <c r="F158" t="s">
        <v>15</v>
      </c>
      <c r="G158" t="s">
        <v>94</v>
      </c>
      <c r="H158" s="5">
        <f t="shared" si="6"/>
        <v>193</v>
      </c>
      <c r="I158" s="2">
        <v>59</v>
      </c>
      <c r="J158" s="2" t="str">
        <f t="shared" si="7"/>
        <v>1994</v>
      </c>
      <c r="K158" s="2">
        <v>0</v>
      </c>
      <c r="L158" s="2">
        <f t="shared" si="8"/>
        <v>2</v>
      </c>
      <c r="M158" s="23">
        <v>0</v>
      </c>
      <c r="N158" s="23">
        <v>0</v>
      </c>
      <c r="O158" s="23">
        <v>1</v>
      </c>
      <c r="P158" s="23">
        <v>1</v>
      </c>
      <c r="Q158" s="23">
        <v>0</v>
      </c>
    </row>
    <row r="159" spans="1:17" x14ac:dyDescent="0.2">
      <c r="A159" t="s">
        <v>306</v>
      </c>
      <c r="B159" t="s">
        <v>18</v>
      </c>
      <c r="C159" t="s">
        <v>19</v>
      </c>
      <c r="D159" t="s">
        <v>20</v>
      </c>
      <c r="E159" t="s">
        <v>55</v>
      </c>
      <c r="F159" t="s">
        <v>19</v>
      </c>
      <c r="G159" t="s">
        <v>53</v>
      </c>
      <c r="H159" s="5">
        <f t="shared" si="6"/>
        <v>125</v>
      </c>
      <c r="I159" s="2">
        <v>58</v>
      </c>
      <c r="J159" s="2" t="str">
        <f t="shared" si="7"/>
        <v>2006</v>
      </c>
      <c r="K159" s="2">
        <v>0</v>
      </c>
      <c r="L159" s="2">
        <f t="shared" si="8"/>
        <v>0</v>
      </c>
      <c r="M159" s="23">
        <v>0</v>
      </c>
      <c r="N159" s="23">
        <v>0</v>
      </c>
      <c r="O159" s="23">
        <v>0</v>
      </c>
      <c r="P159" s="23">
        <v>0</v>
      </c>
      <c r="Q159" s="23">
        <v>0</v>
      </c>
    </row>
    <row r="160" spans="1:17" x14ac:dyDescent="0.2">
      <c r="A160" t="s">
        <v>172</v>
      </c>
      <c r="B160" t="s">
        <v>33</v>
      </c>
      <c r="C160" t="s">
        <v>34</v>
      </c>
      <c r="D160" t="s">
        <v>19</v>
      </c>
      <c r="E160" t="s">
        <v>55</v>
      </c>
      <c r="F160" t="s">
        <v>87</v>
      </c>
      <c r="G160" t="s">
        <v>19</v>
      </c>
      <c r="H160" s="5">
        <f t="shared" si="6"/>
        <v>87</v>
      </c>
      <c r="I160" s="2">
        <v>52</v>
      </c>
      <c r="J160" s="2" t="str">
        <f t="shared" si="7"/>
        <v>2005</v>
      </c>
      <c r="K160" s="2">
        <v>1</v>
      </c>
      <c r="L160" s="2">
        <f t="shared" si="8"/>
        <v>1</v>
      </c>
      <c r="M160" s="23">
        <v>1</v>
      </c>
      <c r="N160" s="23">
        <v>0</v>
      </c>
      <c r="O160" s="23">
        <v>0</v>
      </c>
      <c r="P160" s="23">
        <v>0</v>
      </c>
      <c r="Q160" s="23">
        <v>0</v>
      </c>
    </row>
    <row r="161" spans="1:17" x14ac:dyDescent="0.2">
      <c r="A161" t="s">
        <v>239</v>
      </c>
      <c r="B161" t="s">
        <v>18</v>
      </c>
      <c r="C161" t="s">
        <v>19</v>
      </c>
      <c r="D161" t="s">
        <v>20</v>
      </c>
      <c r="E161" t="s">
        <v>55</v>
      </c>
      <c r="F161" t="s">
        <v>53</v>
      </c>
      <c r="G161" t="s">
        <v>240</v>
      </c>
      <c r="H161" s="5">
        <f t="shared" si="6"/>
        <v>629</v>
      </c>
      <c r="I161" s="2">
        <v>36</v>
      </c>
      <c r="J161" s="2" t="str">
        <f t="shared" si="7"/>
        <v>2006</v>
      </c>
      <c r="K161" s="2">
        <v>1</v>
      </c>
      <c r="L161" s="2">
        <f t="shared" si="8"/>
        <v>1</v>
      </c>
      <c r="M161" s="23">
        <v>0</v>
      </c>
      <c r="N161" s="23">
        <v>0</v>
      </c>
      <c r="O161" s="23">
        <v>1</v>
      </c>
      <c r="P161" s="23">
        <v>0</v>
      </c>
      <c r="Q161" s="23">
        <v>0</v>
      </c>
    </row>
    <row r="162" spans="1:17" x14ac:dyDescent="0.2">
      <c r="A162" t="s">
        <v>127</v>
      </c>
      <c r="B162" t="s">
        <v>24</v>
      </c>
      <c r="C162" t="s">
        <v>20</v>
      </c>
      <c r="D162" t="s">
        <v>25</v>
      </c>
      <c r="E162" t="s">
        <v>98</v>
      </c>
      <c r="F162" t="s">
        <v>96</v>
      </c>
      <c r="G162" t="s">
        <v>128</v>
      </c>
      <c r="H162" s="5">
        <f t="shared" si="6"/>
        <v>3</v>
      </c>
      <c r="I162" s="2">
        <v>57</v>
      </c>
      <c r="J162" s="2" t="str">
        <f t="shared" si="7"/>
        <v>2011</v>
      </c>
      <c r="K162" s="2">
        <v>0</v>
      </c>
      <c r="L162" s="2">
        <f t="shared" si="8"/>
        <v>2</v>
      </c>
      <c r="M162" s="23">
        <v>0</v>
      </c>
      <c r="N162" s="23">
        <v>0</v>
      </c>
      <c r="O162" s="23">
        <v>1</v>
      </c>
      <c r="P162" s="23">
        <v>0</v>
      </c>
      <c r="Q162" s="23">
        <v>1</v>
      </c>
    </row>
    <row r="163" spans="1:17" x14ac:dyDescent="0.2">
      <c r="A163" t="s">
        <v>156</v>
      </c>
      <c r="B163" t="s">
        <v>24</v>
      </c>
      <c r="C163" t="s">
        <v>20</v>
      </c>
      <c r="D163" t="s">
        <v>25</v>
      </c>
      <c r="E163" t="s">
        <v>98</v>
      </c>
      <c r="F163" t="s">
        <v>27</v>
      </c>
      <c r="G163" t="s">
        <v>96</v>
      </c>
      <c r="H163" s="5">
        <f t="shared" si="6"/>
        <v>183</v>
      </c>
      <c r="I163" s="2">
        <v>49</v>
      </c>
      <c r="J163" s="2" t="str">
        <f t="shared" si="7"/>
        <v>2011</v>
      </c>
      <c r="K163" s="2">
        <v>0</v>
      </c>
      <c r="L163" s="2">
        <f t="shared" si="8"/>
        <v>1</v>
      </c>
      <c r="M163" s="23">
        <v>0</v>
      </c>
      <c r="N163" s="23">
        <v>0</v>
      </c>
      <c r="O163" s="23">
        <v>0</v>
      </c>
      <c r="P163" s="23">
        <v>0</v>
      </c>
      <c r="Q163" s="23">
        <v>1</v>
      </c>
    </row>
    <row r="164" spans="1:17" x14ac:dyDescent="0.2">
      <c r="A164" t="s">
        <v>252</v>
      </c>
      <c r="B164" t="s">
        <v>24</v>
      </c>
      <c r="C164" t="s">
        <v>20</v>
      </c>
      <c r="D164" t="s">
        <v>25</v>
      </c>
      <c r="E164" t="s">
        <v>98</v>
      </c>
      <c r="F164" t="s">
        <v>20</v>
      </c>
      <c r="G164" t="s">
        <v>219</v>
      </c>
      <c r="H164" s="5">
        <f t="shared" si="6"/>
        <v>309</v>
      </c>
      <c r="I164" s="2">
        <v>48</v>
      </c>
      <c r="J164" s="2" t="str">
        <f t="shared" si="7"/>
        <v>2010</v>
      </c>
      <c r="K164" s="2">
        <v>0</v>
      </c>
      <c r="L164" s="2">
        <f t="shared" si="8"/>
        <v>1</v>
      </c>
      <c r="M164" s="23">
        <v>0</v>
      </c>
      <c r="N164" s="23">
        <v>0</v>
      </c>
      <c r="O164" s="23">
        <v>1</v>
      </c>
      <c r="P164" s="23">
        <v>0</v>
      </c>
      <c r="Q164" s="23">
        <v>0</v>
      </c>
    </row>
    <row r="165" spans="1:17" x14ac:dyDescent="0.2">
      <c r="A165" t="s">
        <v>307</v>
      </c>
      <c r="B165" t="s">
        <v>24</v>
      </c>
      <c r="C165" t="s">
        <v>20</v>
      </c>
      <c r="D165" t="s">
        <v>25</v>
      </c>
      <c r="E165" t="s">
        <v>98</v>
      </c>
      <c r="F165" t="s">
        <v>308</v>
      </c>
      <c r="G165" t="s">
        <v>309</v>
      </c>
      <c r="H165" s="5">
        <f t="shared" si="6"/>
        <v>249</v>
      </c>
      <c r="I165" s="2">
        <v>44</v>
      </c>
      <c r="J165" s="2" t="str">
        <f t="shared" si="7"/>
        <v>2011</v>
      </c>
      <c r="K165" s="2">
        <v>0</v>
      </c>
      <c r="L165" s="2">
        <f t="shared" si="8"/>
        <v>1</v>
      </c>
      <c r="M165" s="23">
        <v>0</v>
      </c>
      <c r="N165" s="23">
        <v>1</v>
      </c>
      <c r="O165" s="23">
        <v>0</v>
      </c>
      <c r="P165" s="23">
        <v>0</v>
      </c>
      <c r="Q165" s="23">
        <v>0</v>
      </c>
    </row>
    <row r="166" spans="1:17" x14ac:dyDescent="0.2">
      <c r="A166" t="s">
        <v>76</v>
      </c>
      <c r="B166" t="s">
        <v>33</v>
      </c>
      <c r="C166" t="s">
        <v>34</v>
      </c>
      <c r="D166" t="s">
        <v>19</v>
      </c>
      <c r="E166" t="s">
        <v>38</v>
      </c>
      <c r="F166" t="s">
        <v>69</v>
      </c>
      <c r="G166" t="s">
        <v>19</v>
      </c>
      <c r="H166" s="5">
        <f t="shared" si="6"/>
        <v>1104</v>
      </c>
      <c r="I166" s="2">
        <v>68</v>
      </c>
      <c r="J166" s="2" t="str">
        <f t="shared" si="7"/>
        <v>2003</v>
      </c>
      <c r="K166" s="2">
        <v>0</v>
      </c>
      <c r="L166" s="2">
        <f t="shared" si="8"/>
        <v>1</v>
      </c>
      <c r="M166" s="23">
        <v>0</v>
      </c>
      <c r="N166" s="23">
        <v>0</v>
      </c>
      <c r="O166" s="23">
        <v>1</v>
      </c>
      <c r="P166" s="23">
        <v>0</v>
      </c>
      <c r="Q166" s="23">
        <v>0</v>
      </c>
    </row>
    <row r="167" spans="1:17" x14ac:dyDescent="0.2">
      <c r="A167" t="s">
        <v>113</v>
      </c>
      <c r="B167" t="s">
        <v>13</v>
      </c>
      <c r="C167" t="s">
        <v>14</v>
      </c>
      <c r="D167" t="s">
        <v>15</v>
      </c>
      <c r="E167" t="s">
        <v>38</v>
      </c>
      <c r="F167" t="s">
        <v>14</v>
      </c>
      <c r="G167" t="s">
        <v>15</v>
      </c>
      <c r="H167" s="5">
        <f t="shared" si="6"/>
        <v>1461</v>
      </c>
      <c r="I167" s="2">
        <v>59</v>
      </c>
      <c r="J167" s="2" t="str">
        <f t="shared" si="7"/>
        <v>1990</v>
      </c>
      <c r="K167" s="2">
        <v>0</v>
      </c>
      <c r="L167" s="2">
        <f t="shared" si="8"/>
        <v>1</v>
      </c>
      <c r="M167" s="23">
        <v>0</v>
      </c>
      <c r="N167" s="23">
        <v>0</v>
      </c>
      <c r="O167" s="23">
        <v>1</v>
      </c>
      <c r="P167" s="23">
        <v>0</v>
      </c>
      <c r="Q167" s="23">
        <v>0</v>
      </c>
    </row>
    <row r="168" spans="1:17" x14ac:dyDescent="0.2">
      <c r="A168" t="s">
        <v>160</v>
      </c>
      <c r="B168" t="s">
        <v>33</v>
      </c>
      <c r="C168" t="s">
        <v>34</v>
      </c>
      <c r="D168" t="s">
        <v>19</v>
      </c>
      <c r="E168" t="s">
        <v>38</v>
      </c>
      <c r="F168" t="s">
        <v>34</v>
      </c>
      <c r="G168" t="s">
        <v>69</v>
      </c>
      <c r="H168" s="5">
        <f t="shared" si="6"/>
        <v>1087</v>
      </c>
      <c r="I168" s="2">
        <v>46</v>
      </c>
      <c r="J168" s="2" t="str">
        <f t="shared" si="7"/>
        <v>2000</v>
      </c>
      <c r="K168" s="2">
        <v>0</v>
      </c>
      <c r="L168" s="2">
        <f t="shared" si="8"/>
        <v>0</v>
      </c>
      <c r="M168" s="23">
        <v>0</v>
      </c>
      <c r="N168" s="23">
        <v>0</v>
      </c>
      <c r="O168" s="23">
        <v>0</v>
      </c>
      <c r="P168" s="23">
        <v>0</v>
      </c>
      <c r="Q168" s="23">
        <v>0</v>
      </c>
    </row>
    <row r="169" spans="1:17" x14ac:dyDescent="0.2">
      <c r="A169" t="s">
        <v>160</v>
      </c>
      <c r="B169" t="s">
        <v>37</v>
      </c>
      <c r="C169" t="s">
        <v>15</v>
      </c>
      <c r="D169" t="s">
        <v>34</v>
      </c>
      <c r="E169" t="s">
        <v>38</v>
      </c>
      <c r="F169" t="s">
        <v>161</v>
      </c>
      <c r="G169" t="s">
        <v>34</v>
      </c>
      <c r="H169" s="5">
        <f t="shared" si="6"/>
        <v>87</v>
      </c>
      <c r="I169" s="2">
        <v>45</v>
      </c>
      <c r="J169" s="2" t="str">
        <f t="shared" si="7"/>
        <v>1999</v>
      </c>
      <c r="K169" s="2">
        <v>0</v>
      </c>
      <c r="L169" s="2">
        <f t="shared" si="8"/>
        <v>0</v>
      </c>
      <c r="M169" s="23">
        <v>0</v>
      </c>
      <c r="N169" s="23">
        <v>0</v>
      </c>
      <c r="O169" s="23">
        <v>0</v>
      </c>
      <c r="P169" s="23">
        <v>0</v>
      </c>
      <c r="Q169" s="23">
        <v>0</v>
      </c>
    </row>
    <row r="170" spans="1:17" x14ac:dyDescent="0.2">
      <c r="A170" t="s">
        <v>278</v>
      </c>
      <c r="B170" t="s">
        <v>18</v>
      </c>
      <c r="C170" t="s">
        <v>19</v>
      </c>
      <c r="D170" t="s">
        <v>20</v>
      </c>
      <c r="E170" t="s">
        <v>38</v>
      </c>
      <c r="F170" t="s">
        <v>19</v>
      </c>
      <c r="G170" t="s">
        <v>109</v>
      </c>
      <c r="H170" s="5">
        <f t="shared" si="6"/>
        <v>381</v>
      </c>
      <c r="I170" s="2">
        <v>51</v>
      </c>
      <c r="J170" s="2" t="str">
        <f t="shared" si="7"/>
        <v>2006</v>
      </c>
      <c r="K170" s="2">
        <v>0</v>
      </c>
      <c r="L170" s="2">
        <f t="shared" si="8"/>
        <v>2</v>
      </c>
      <c r="M170" s="23">
        <v>1</v>
      </c>
      <c r="N170" s="23">
        <v>0</v>
      </c>
      <c r="O170" s="23">
        <v>1</v>
      </c>
      <c r="P170" s="23">
        <v>0</v>
      </c>
      <c r="Q170" s="23">
        <v>0</v>
      </c>
    </row>
    <row r="171" spans="1:17" x14ac:dyDescent="0.2">
      <c r="A171" t="s">
        <v>243</v>
      </c>
      <c r="B171" t="s">
        <v>24</v>
      </c>
      <c r="C171" t="s">
        <v>20</v>
      </c>
      <c r="D171" t="s">
        <v>25</v>
      </c>
      <c r="E171" t="s">
        <v>38</v>
      </c>
      <c r="F171" t="s">
        <v>244</v>
      </c>
      <c r="G171" t="s">
        <v>25</v>
      </c>
      <c r="H171" s="5">
        <f t="shared" si="6"/>
        <v>449</v>
      </c>
      <c r="I171" s="2">
        <v>38</v>
      </c>
      <c r="J171" s="2" t="str">
        <f t="shared" si="7"/>
        <v>2012</v>
      </c>
      <c r="K171" s="2">
        <v>1</v>
      </c>
      <c r="L171" s="2">
        <f t="shared" si="8"/>
        <v>0</v>
      </c>
      <c r="M171" s="23">
        <v>0</v>
      </c>
      <c r="N171" s="23">
        <v>0</v>
      </c>
      <c r="O171" s="23">
        <v>0</v>
      </c>
      <c r="P171" s="23">
        <v>0</v>
      </c>
      <c r="Q171" s="23">
        <v>0</v>
      </c>
    </row>
    <row r="172" spans="1:17" x14ac:dyDescent="0.2">
      <c r="A172" t="s">
        <v>77</v>
      </c>
      <c r="B172" t="s">
        <v>24</v>
      </c>
      <c r="C172" t="s">
        <v>20</v>
      </c>
      <c r="D172" t="s">
        <v>25</v>
      </c>
      <c r="E172" t="s">
        <v>78</v>
      </c>
      <c r="F172" t="s">
        <v>20</v>
      </c>
      <c r="G172" t="s">
        <v>25</v>
      </c>
      <c r="H172" s="5">
        <f t="shared" si="6"/>
        <v>1461</v>
      </c>
      <c r="I172" s="2">
        <v>57</v>
      </c>
      <c r="J172" s="2" t="str">
        <f t="shared" si="7"/>
        <v>2010</v>
      </c>
      <c r="K172" s="2">
        <v>1</v>
      </c>
      <c r="L172" s="2">
        <f t="shared" si="8"/>
        <v>0</v>
      </c>
      <c r="M172" s="23">
        <v>0</v>
      </c>
      <c r="N172" s="23">
        <v>0</v>
      </c>
      <c r="O172" s="23">
        <v>0</v>
      </c>
      <c r="P172" s="23">
        <v>0</v>
      </c>
      <c r="Q172" s="23">
        <v>0</v>
      </c>
    </row>
    <row r="173" spans="1:17" x14ac:dyDescent="0.2">
      <c r="A173" t="s">
        <v>206</v>
      </c>
      <c r="B173" t="s">
        <v>37</v>
      </c>
      <c r="C173" t="s">
        <v>15</v>
      </c>
      <c r="D173" t="s">
        <v>34</v>
      </c>
      <c r="E173" t="s">
        <v>165</v>
      </c>
      <c r="F173" t="s">
        <v>15</v>
      </c>
      <c r="G173" t="s">
        <v>56</v>
      </c>
      <c r="H173" s="5">
        <f t="shared" si="6"/>
        <v>932</v>
      </c>
      <c r="I173" s="2">
        <v>53</v>
      </c>
      <c r="J173" s="2" t="str">
        <f t="shared" si="7"/>
        <v>1994</v>
      </c>
      <c r="K173" s="2">
        <v>0</v>
      </c>
      <c r="L173" s="2">
        <f t="shared" si="8"/>
        <v>2</v>
      </c>
      <c r="M173" s="23">
        <v>0</v>
      </c>
      <c r="N173" s="23">
        <v>1</v>
      </c>
      <c r="O173" s="23">
        <v>1</v>
      </c>
      <c r="P173" s="23">
        <v>0</v>
      </c>
      <c r="Q173" s="23">
        <v>0</v>
      </c>
    </row>
    <row r="174" spans="1:17" x14ac:dyDescent="0.2">
      <c r="A174" t="s">
        <v>221</v>
      </c>
      <c r="B174" t="s">
        <v>13</v>
      </c>
      <c r="C174" t="s">
        <v>14</v>
      </c>
      <c r="D174" t="s">
        <v>15</v>
      </c>
      <c r="E174" t="s">
        <v>165</v>
      </c>
      <c r="F174" t="s">
        <v>14</v>
      </c>
      <c r="G174" t="s">
        <v>15</v>
      </c>
      <c r="H174" s="5">
        <f t="shared" si="6"/>
        <v>1461</v>
      </c>
      <c r="I174" s="2">
        <v>61</v>
      </c>
      <c r="J174" s="2" t="str">
        <f t="shared" si="7"/>
        <v>1990</v>
      </c>
      <c r="K174" s="2">
        <v>0</v>
      </c>
      <c r="L174" s="2">
        <f t="shared" si="8"/>
        <v>3</v>
      </c>
      <c r="M174" s="23">
        <v>1</v>
      </c>
      <c r="N174" s="23">
        <v>0</v>
      </c>
      <c r="O174" s="23">
        <v>1</v>
      </c>
      <c r="P174" s="23">
        <v>1</v>
      </c>
      <c r="Q174" s="23">
        <v>0</v>
      </c>
    </row>
    <row r="175" spans="1:17" x14ac:dyDescent="0.2">
      <c r="A175" t="s">
        <v>250</v>
      </c>
      <c r="B175" t="s">
        <v>37</v>
      </c>
      <c r="C175" t="s">
        <v>15</v>
      </c>
      <c r="D175" t="s">
        <v>34</v>
      </c>
      <c r="E175" t="s">
        <v>165</v>
      </c>
      <c r="F175" t="s">
        <v>251</v>
      </c>
      <c r="G175" t="s">
        <v>34</v>
      </c>
      <c r="H175" s="5">
        <f t="shared" si="6"/>
        <v>662</v>
      </c>
      <c r="I175" s="2">
        <v>38</v>
      </c>
      <c r="J175" s="2" t="str">
        <f t="shared" si="7"/>
        <v>1998</v>
      </c>
      <c r="K175" s="2">
        <v>0</v>
      </c>
      <c r="L175" s="2">
        <f t="shared" si="8"/>
        <v>2</v>
      </c>
      <c r="M175" s="23">
        <v>0</v>
      </c>
      <c r="N175" s="23">
        <v>0</v>
      </c>
      <c r="O175" s="23">
        <v>1</v>
      </c>
      <c r="P175" s="23">
        <v>1</v>
      </c>
      <c r="Q175" s="23">
        <v>0</v>
      </c>
    </row>
    <row r="176" spans="1:17" x14ac:dyDescent="0.2">
      <c r="A176" t="s">
        <v>164</v>
      </c>
      <c r="B176" t="s">
        <v>18</v>
      </c>
      <c r="C176" t="s">
        <v>19</v>
      </c>
      <c r="D176" t="s">
        <v>20</v>
      </c>
      <c r="E176" t="s">
        <v>165</v>
      </c>
      <c r="F176" t="s">
        <v>19</v>
      </c>
      <c r="G176" t="s">
        <v>89</v>
      </c>
      <c r="H176" s="5">
        <f t="shared" si="6"/>
        <v>668</v>
      </c>
      <c r="I176" s="2">
        <v>60</v>
      </c>
      <c r="J176" s="2" t="str">
        <f t="shared" si="7"/>
        <v>2006</v>
      </c>
      <c r="K176" s="2">
        <v>1</v>
      </c>
      <c r="L176" s="2">
        <f t="shared" si="8"/>
        <v>2</v>
      </c>
      <c r="M176" s="23">
        <v>1</v>
      </c>
      <c r="N176" s="23">
        <v>0</v>
      </c>
      <c r="O176" s="23">
        <v>1</v>
      </c>
      <c r="P176" s="23">
        <v>0</v>
      </c>
      <c r="Q176" s="23">
        <v>0</v>
      </c>
    </row>
    <row r="177" spans="1:17" x14ac:dyDescent="0.2">
      <c r="A177" t="s">
        <v>239</v>
      </c>
      <c r="B177" t="s">
        <v>33</v>
      </c>
      <c r="C177" t="s">
        <v>34</v>
      </c>
      <c r="D177" t="s">
        <v>19</v>
      </c>
      <c r="E177" t="s">
        <v>165</v>
      </c>
      <c r="F177" t="s">
        <v>36</v>
      </c>
      <c r="G177" t="s">
        <v>19</v>
      </c>
      <c r="H177" s="5">
        <f t="shared" si="6"/>
        <v>528</v>
      </c>
      <c r="I177" s="2">
        <v>34</v>
      </c>
      <c r="J177" s="2" t="str">
        <f t="shared" si="7"/>
        <v>2004</v>
      </c>
      <c r="K177" s="2">
        <v>1</v>
      </c>
      <c r="L177" s="2">
        <f t="shared" si="8"/>
        <v>1</v>
      </c>
      <c r="M177" s="23">
        <v>0</v>
      </c>
      <c r="N177" s="23">
        <v>0</v>
      </c>
      <c r="O177" s="23">
        <v>1</v>
      </c>
      <c r="P177" s="23">
        <v>0</v>
      </c>
      <c r="Q177" s="23">
        <v>0</v>
      </c>
    </row>
    <row r="178" spans="1:17" x14ac:dyDescent="0.2">
      <c r="A178" t="s">
        <v>242</v>
      </c>
      <c r="B178" t="s">
        <v>33</v>
      </c>
      <c r="C178" t="s">
        <v>34</v>
      </c>
      <c r="D178" t="s">
        <v>19</v>
      </c>
      <c r="E178" t="s">
        <v>165</v>
      </c>
      <c r="F178" t="s">
        <v>68</v>
      </c>
      <c r="G178" t="s">
        <v>69</v>
      </c>
      <c r="H178" s="5">
        <f t="shared" si="6"/>
        <v>420</v>
      </c>
      <c r="I178" s="2">
        <v>35</v>
      </c>
      <c r="J178" s="2" t="str">
        <f t="shared" si="7"/>
        <v>2002</v>
      </c>
      <c r="K178" s="2">
        <v>1</v>
      </c>
      <c r="L178" s="2">
        <f t="shared" si="8"/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</row>
    <row r="179" spans="1:17" x14ac:dyDescent="0.2">
      <c r="A179" t="s">
        <v>249</v>
      </c>
      <c r="B179" t="s">
        <v>18</v>
      </c>
      <c r="C179" t="s">
        <v>19</v>
      </c>
      <c r="D179" t="s">
        <v>20</v>
      </c>
      <c r="E179" t="s">
        <v>165</v>
      </c>
      <c r="F179" t="s">
        <v>89</v>
      </c>
      <c r="G179" t="s">
        <v>20</v>
      </c>
      <c r="H179" s="5">
        <f t="shared" si="6"/>
        <v>793</v>
      </c>
      <c r="I179" s="2">
        <v>42</v>
      </c>
      <c r="J179" s="2" t="str">
        <f t="shared" si="7"/>
        <v>2008</v>
      </c>
      <c r="K179" s="2">
        <v>1</v>
      </c>
      <c r="L179" s="2">
        <f t="shared" si="8"/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</row>
    <row r="180" spans="1:17" x14ac:dyDescent="0.2">
      <c r="A180" t="s">
        <v>118</v>
      </c>
      <c r="B180" t="s">
        <v>24</v>
      </c>
      <c r="C180" t="s">
        <v>20</v>
      </c>
      <c r="D180" t="s">
        <v>25</v>
      </c>
      <c r="E180" t="s">
        <v>115</v>
      </c>
      <c r="F180" t="s">
        <v>96</v>
      </c>
      <c r="G180" t="s">
        <v>25</v>
      </c>
      <c r="H180" s="5">
        <f t="shared" si="6"/>
        <v>967</v>
      </c>
      <c r="I180" s="2">
        <v>53</v>
      </c>
      <c r="J180" s="2" t="str">
        <f t="shared" si="7"/>
        <v>2011</v>
      </c>
      <c r="K180" s="2">
        <v>0</v>
      </c>
      <c r="L180" s="2">
        <f t="shared" si="8"/>
        <v>0</v>
      </c>
      <c r="M180" s="23">
        <v>0</v>
      </c>
      <c r="N180" s="23">
        <v>0</v>
      </c>
      <c r="O180" s="23">
        <v>0</v>
      </c>
      <c r="P180" s="23">
        <v>0</v>
      </c>
      <c r="Q180" s="23">
        <v>0</v>
      </c>
    </row>
    <row r="181" spans="1:17" x14ac:dyDescent="0.2">
      <c r="A181" t="s">
        <v>126</v>
      </c>
      <c r="B181" t="s">
        <v>33</v>
      </c>
      <c r="C181" t="s">
        <v>34</v>
      </c>
      <c r="D181" t="s">
        <v>19</v>
      </c>
      <c r="E181" t="s">
        <v>115</v>
      </c>
      <c r="F181" t="s">
        <v>68</v>
      </c>
      <c r="G181" t="s">
        <v>19</v>
      </c>
      <c r="H181" s="5">
        <f t="shared" si="6"/>
        <v>1524</v>
      </c>
      <c r="I181" s="2">
        <v>58</v>
      </c>
      <c r="J181" s="2" t="str">
        <f t="shared" si="7"/>
        <v>2002</v>
      </c>
      <c r="K181" s="2">
        <v>0</v>
      </c>
      <c r="L181" s="2">
        <f t="shared" si="8"/>
        <v>1</v>
      </c>
      <c r="M181" s="23">
        <v>0</v>
      </c>
      <c r="N181" s="23">
        <v>0</v>
      </c>
      <c r="O181" s="23">
        <v>0</v>
      </c>
      <c r="P181" s="23">
        <v>0</v>
      </c>
      <c r="Q181" s="23">
        <v>1</v>
      </c>
    </row>
    <row r="182" spans="1:17" x14ac:dyDescent="0.2">
      <c r="A182" t="s">
        <v>156</v>
      </c>
      <c r="B182" t="s">
        <v>24</v>
      </c>
      <c r="C182" t="s">
        <v>20</v>
      </c>
      <c r="D182" t="s">
        <v>25</v>
      </c>
      <c r="E182" t="s">
        <v>115</v>
      </c>
      <c r="F182" t="s">
        <v>20</v>
      </c>
      <c r="G182" t="s">
        <v>96</v>
      </c>
      <c r="H182" s="5">
        <f t="shared" si="6"/>
        <v>494</v>
      </c>
      <c r="I182" s="2">
        <v>48</v>
      </c>
      <c r="J182" s="2" t="str">
        <f t="shared" si="7"/>
        <v>2010</v>
      </c>
      <c r="K182" s="2">
        <v>0</v>
      </c>
      <c r="L182" s="2">
        <f t="shared" si="8"/>
        <v>1</v>
      </c>
      <c r="M182" s="23">
        <v>0</v>
      </c>
      <c r="N182" s="23">
        <v>0</v>
      </c>
      <c r="O182" s="23">
        <v>0</v>
      </c>
      <c r="P182" s="23">
        <v>0</v>
      </c>
      <c r="Q182" s="23">
        <v>1</v>
      </c>
    </row>
    <row r="183" spans="1:17" x14ac:dyDescent="0.2">
      <c r="A183" t="s">
        <v>162</v>
      </c>
      <c r="B183" t="s">
        <v>13</v>
      </c>
      <c r="C183" t="s">
        <v>14</v>
      </c>
      <c r="D183" t="s">
        <v>15</v>
      </c>
      <c r="E183" t="s">
        <v>115</v>
      </c>
      <c r="F183" t="s">
        <v>61</v>
      </c>
      <c r="G183" t="s">
        <v>15</v>
      </c>
      <c r="H183" s="5">
        <f t="shared" si="6"/>
        <v>529</v>
      </c>
      <c r="I183" s="2">
        <v>69</v>
      </c>
      <c r="J183" s="2" t="str">
        <f t="shared" si="7"/>
        <v>1992</v>
      </c>
      <c r="K183" s="2">
        <v>0</v>
      </c>
      <c r="L183" s="2">
        <f t="shared" si="8"/>
        <v>2</v>
      </c>
      <c r="M183" s="23">
        <v>1</v>
      </c>
      <c r="N183" s="23">
        <v>0</v>
      </c>
      <c r="O183" s="23">
        <v>1</v>
      </c>
      <c r="P183" s="23">
        <v>0</v>
      </c>
      <c r="Q183" s="23">
        <v>0</v>
      </c>
    </row>
    <row r="184" spans="1:17" x14ac:dyDescent="0.2">
      <c r="A184" t="s">
        <v>163</v>
      </c>
      <c r="B184" t="s">
        <v>13</v>
      </c>
      <c r="C184" t="s">
        <v>14</v>
      </c>
      <c r="D184" t="s">
        <v>15</v>
      </c>
      <c r="E184" t="s">
        <v>115</v>
      </c>
      <c r="F184" t="s">
        <v>14</v>
      </c>
      <c r="G184" t="s">
        <v>61</v>
      </c>
      <c r="H184" s="5">
        <f t="shared" si="6"/>
        <v>932</v>
      </c>
      <c r="I184" s="2">
        <v>62</v>
      </c>
      <c r="J184" s="2" t="str">
        <f t="shared" si="7"/>
        <v>1990</v>
      </c>
      <c r="K184" s="2">
        <v>0</v>
      </c>
      <c r="L184" s="2">
        <f t="shared" si="8"/>
        <v>3</v>
      </c>
      <c r="M184" s="23">
        <v>0</v>
      </c>
      <c r="N184" s="23">
        <v>1</v>
      </c>
      <c r="O184" s="23">
        <v>1</v>
      </c>
      <c r="P184" s="23">
        <v>1</v>
      </c>
      <c r="Q184" s="23">
        <v>0</v>
      </c>
    </row>
    <row r="185" spans="1:17" x14ac:dyDescent="0.2">
      <c r="A185" t="s">
        <v>180</v>
      </c>
      <c r="B185" t="s">
        <v>37</v>
      </c>
      <c r="C185" t="s">
        <v>15</v>
      </c>
      <c r="D185" t="s">
        <v>34</v>
      </c>
      <c r="E185" t="s">
        <v>115</v>
      </c>
      <c r="F185" t="s">
        <v>181</v>
      </c>
      <c r="G185" t="s">
        <v>34</v>
      </c>
      <c r="H185" s="5">
        <f t="shared" si="6"/>
        <v>941</v>
      </c>
      <c r="I185" s="2">
        <v>64</v>
      </c>
      <c r="J185" s="2" t="str">
        <f t="shared" si="7"/>
        <v>1997</v>
      </c>
      <c r="K185" s="2">
        <v>0</v>
      </c>
      <c r="L185" s="2">
        <f t="shared" si="8"/>
        <v>3</v>
      </c>
      <c r="M185" s="23">
        <v>1</v>
      </c>
      <c r="N185" s="23">
        <v>0</v>
      </c>
      <c r="O185" s="23">
        <v>1</v>
      </c>
      <c r="P185" s="23">
        <v>0</v>
      </c>
      <c r="Q185" s="23">
        <v>1</v>
      </c>
    </row>
    <row r="186" spans="1:17" x14ac:dyDescent="0.2">
      <c r="A186" t="s">
        <v>257</v>
      </c>
      <c r="B186" t="s">
        <v>33</v>
      </c>
      <c r="C186" t="s">
        <v>34</v>
      </c>
      <c r="D186" t="s">
        <v>19</v>
      </c>
      <c r="E186" t="s">
        <v>115</v>
      </c>
      <c r="F186" t="s">
        <v>116</v>
      </c>
      <c r="G186" t="s">
        <v>68</v>
      </c>
      <c r="H186" s="5">
        <f t="shared" si="6"/>
        <v>202</v>
      </c>
      <c r="I186" s="2">
        <v>53</v>
      </c>
      <c r="J186" s="2" t="str">
        <f t="shared" si="7"/>
        <v>2001</v>
      </c>
      <c r="K186" s="2">
        <v>0</v>
      </c>
      <c r="L186" s="2">
        <f t="shared" si="8"/>
        <v>2</v>
      </c>
      <c r="M186" s="23">
        <v>1</v>
      </c>
      <c r="N186" s="23">
        <v>0</v>
      </c>
      <c r="O186" s="23">
        <v>0</v>
      </c>
      <c r="P186" s="23">
        <v>0</v>
      </c>
      <c r="Q186" s="23">
        <v>1</v>
      </c>
    </row>
    <row r="187" spans="1:17" x14ac:dyDescent="0.2">
      <c r="A187" t="s">
        <v>279</v>
      </c>
      <c r="B187" t="s">
        <v>37</v>
      </c>
      <c r="C187" t="s">
        <v>15</v>
      </c>
      <c r="D187" t="s">
        <v>34</v>
      </c>
      <c r="E187" t="s">
        <v>115</v>
      </c>
      <c r="F187" t="s">
        <v>15</v>
      </c>
      <c r="G187" t="s">
        <v>280</v>
      </c>
      <c r="H187" s="5">
        <f t="shared" si="6"/>
        <v>1241</v>
      </c>
      <c r="I187" s="2">
        <v>61</v>
      </c>
      <c r="J187" s="2" t="str">
        <f t="shared" si="7"/>
        <v>1994</v>
      </c>
      <c r="K187" s="2">
        <v>0</v>
      </c>
      <c r="L187" s="2">
        <f t="shared" si="8"/>
        <v>3</v>
      </c>
      <c r="M187" s="23">
        <v>1</v>
      </c>
      <c r="N187" s="23">
        <v>0</v>
      </c>
      <c r="O187" s="23">
        <v>1</v>
      </c>
      <c r="P187" s="23">
        <v>0</v>
      </c>
      <c r="Q187" s="23">
        <v>1</v>
      </c>
    </row>
    <row r="188" spans="1:17" x14ac:dyDescent="0.2">
      <c r="A188" t="s">
        <v>238</v>
      </c>
      <c r="B188" t="s">
        <v>18</v>
      </c>
      <c r="C188" t="s">
        <v>19</v>
      </c>
      <c r="D188" t="s">
        <v>20</v>
      </c>
      <c r="E188" t="s">
        <v>115</v>
      </c>
      <c r="F188" t="s">
        <v>19</v>
      </c>
      <c r="G188" t="s">
        <v>89</v>
      </c>
      <c r="H188" s="5">
        <f t="shared" si="6"/>
        <v>668</v>
      </c>
      <c r="I188" s="2">
        <v>40</v>
      </c>
      <c r="J188" s="2" t="str">
        <f t="shared" si="7"/>
        <v>2006</v>
      </c>
      <c r="K188" s="2">
        <v>1</v>
      </c>
      <c r="L188" s="2">
        <f t="shared" si="8"/>
        <v>1</v>
      </c>
      <c r="M188" s="23">
        <v>0</v>
      </c>
      <c r="N188" s="23">
        <v>0</v>
      </c>
      <c r="O188" s="23">
        <v>1</v>
      </c>
      <c r="P188" s="23">
        <v>0</v>
      </c>
      <c r="Q188" s="23">
        <v>0</v>
      </c>
    </row>
    <row r="189" spans="1:17" x14ac:dyDescent="0.2">
      <c r="A189" t="s">
        <v>84</v>
      </c>
      <c r="B189" t="s">
        <v>18</v>
      </c>
      <c r="C189" t="s">
        <v>19</v>
      </c>
      <c r="D189" t="s">
        <v>20</v>
      </c>
      <c r="E189" t="s">
        <v>85</v>
      </c>
      <c r="F189" t="s">
        <v>86</v>
      </c>
      <c r="G189" t="s">
        <v>20</v>
      </c>
      <c r="H189" s="5">
        <f t="shared" si="6"/>
        <v>790</v>
      </c>
      <c r="I189" s="2">
        <v>67</v>
      </c>
      <c r="J189" s="2" t="str">
        <f t="shared" si="7"/>
        <v>2008</v>
      </c>
      <c r="K189" s="2">
        <v>0</v>
      </c>
      <c r="L189" s="2">
        <f t="shared" si="8"/>
        <v>3</v>
      </c>
      <c r="M189" s="23">
        <v>0</v>
      </c>
      <c r="N189" s="23">
        <v>1</v>
      </c>
      <c r="O189" s="23">
        <v>1</v>
      </c>
      <c r="P189" s="23">
        <v>1</v>
      </c>
      <c r="Q189" s="23">
        <v>0</v>
      </c>
    </row>
    <row r="190" spans="1:17" x14ac:dyDescent="0.2">
      <c r="A190" t="s">
        <v>88</v>
      </c>
      <c r="B190" t="s">
        <v>18</v>
      </c>
      <c r="C190" t="s">
        <v>19</v>
      </c>
      <c r="D190" t="s">
        <v>20</v>
      </c>
      <c r="E190" t="s">
        <v>85</v>
      </c>
      <c r="F190" t="s">
        <v>19</v>
      </c>
      <c r="G190" t="s">
        <v>89</v>
      </c>
      <c r="H190" s="5">
        <f t="shared" si="6"/>
        <v>668</v>
      </c>
      <c r="I190" s="2">
        <v>48</v>
      </c>
      <c r="J190" s="2" t="str">
        <f t="shared" si="7"/>
        <v>2006</v>
      </c>
      <c r="K190" s="2">
        <v>0</v>
      </c>
      <c r="L190" s="2">
        <f t="shared" si="8"/>
        <v>3</v>
      </c>
      <c r="M190" s="23">
        <v>0</v>
      </c>
      <c r="N190" s="23">
        <v>0</v>
      </c>
      <c r="O190" s="23">
        <v>1</v>
      </c>
      <c r="P190" s="23">
        <v>1</v>
      </c>
      <c r="Q190" s="23">
        <v>1</v>
      </c>
    </row>
    <row r="191" spans="1:17" x14ac:dyDescent="0.2">
      <c r="A191" t="s">
        <v>112</v>
      </c>
      <c r="B191" t="s">
        <v>33</v>
      </c>
      <c r="C191" t="s">
        <v>34</v>
      </c>
      <c r="D191" t="s">
        <v>19</v>
      </c>
      <c r="E191" t="s">
        <v>85</v>
      </c>
      <c r="F191" t="s">
        <v>34</v>
      </c>
      <c r="G191" t="s">
        <v>68</v>
      </c>
      <c r="H191" s="5">
        <f t="shared" si="6"/>
        <v>667</v>
      </c>
      <c r="I191" s="2">
        <v>48</v>
      </c>
      <c r="J191" s="2" t="str">
        <f t="shared" si="7"/>
        <v>2000</v>
      </c>
      <c r="K191" s="2">
        <v>0</v>
      </c>
      <c r="L191" s="2">
        <f t="shared" si="8"/>
        <v>2</v>
      </c>
      <c r="M191" s="23">
        <v>1</v>
      </c>
      <c r="N191" s="23">
        <v>0</v>
      </c>
      <c r="O191" s="23">
        <v>0</v>
      </c>
      <c r="P191" s="23">
        <v>0</v>
      </c>
      <c r="Q191" s="23">
        <v>1</v>
      </c>
    </row>
    <row r="192" spans="1:17" x14ac:dyDescent="0.2">
      <c r="A192" t="s">
        <v>118</v>
      </c>
      <c r="B192" t="s">
        <v>24</v>
      </c>
      <c r="C192" t="s">
        <v>20</v>
      </c>
      <c r="D192" t="s">
        <v>25</v>
      </c>
      <c r="E192" t="s">
        <v>85</v>
      </c>
      <c r="F192" t="s">
        <v>20</v>
      </c>
      <c r="G192" t="s">
        <v>96</v>
      </c>
      <c r="H192" s="5">
        <f t="shared" si="6"/>
        <v>494</v>
      </c>
      <c r="I192" s="2">
        <v>52</v>
      </c>
      <c r="J192" s="2" t="str">
        <f t="shared" si="7"/>
        <v>2010</v>
      </c>
      <c r="K192" s="2">
        <v>0</v>
      </c>
      <c r="L192" s="2">
        <f t="shared" si="8"/>
        <v>0</v>
      </c>
      <c r="M192" s="23">
        <v>0</v>
      </c>
      <c r="N192" s="23">
        <v>0</v>
      </c>
      <c r="O192" s="23">
        <v>0</v>
      </c>
      <c r="P192" s="23">
        <v>0</v>
      </c>
      <c r="Q192" s="23">
        <v>0</v>
      </c>
    </row>
    <row r="193" spans="1:17" x14ac:dyDescent="0.2">
      <c r="A193" t="s">
        <v>133</v>
      </c>
      <c r="B193" t="s">
        <v>33</v>
      </c>
      <c r="C193" t="s">
        <v>34</v>
      </c>
      <c r="D193" t="s">
        <v>19</v>
      </c>
      <c r="E193" t="s">
        <v>85</v>
      </c>
      <c r="F193" t="s">
        <v>134</v>
      </c>
      <c r="G193" t="s">
        <v>19</v>
      </c>
      <c r="H193" s="5">
        <f t="shared" si="6"/>
        <v>432</v>
      </c>
      <c r="I193" s="2">
        <v>58</v>
      </c>
      <c r="J193" s="2" t="str">
        <f t="shared" si="7"/>
        <v>2005</v>
      </c>
      <c r="K193" s="2">
        <v>0</v>
      </c>
      <c r="L193" s="2">
        <f t="shared" si="8"/>
        <v>4</v>
      </c>
      <c r="M193" s="23">
        <v>1</v>
      </c>
      <c r="N193" s="23">
        <v>1</v>
      </c>
      <c r="O193" s="23">
        <v>1</v>
      </c>
      <c r="P193" s="23">
        <v>1</v>
      </c>
      <c r="Q193" s="23">
        <v>0</v>
      </c>
    </row>
    <row r="194" spans="1:17" x14ac:dyDescent="0.2">
      <c r="A194" t="s">
        <v>135</v>
      </c>
      <c r="B194" t="s">
        <v>33</v>
      </c>
      <c r="C194" t="s">
        <v>34</v>
      </c>
      <c r="D194" t="s">
        <v>19</v>
      </c>
      <c r="E194" t="s">
        <v>85</v>
      </c>
      <c r="F194" t="s">
        <v>68</v>
      </c>
      <c r="G194" t="s">
        <v>134</v>
      </c>
      <c r="H194" s="5">
        <f t="shared" ref="H194:H233" si="9">G194-F194</f>
        <v>1092</v>
      </c>
      <c r="I194" s="2">
        <v>54</v>
      </c>
      <c r="J194" s="2" t="str">
        <f t="shared" si="7"/>
        <v>2002</v>
      </c>
      <c r="K194" s="2">
        <v>0</v>
      </c>
      <c r="L194" s="2">
        <f t="shared" si="8"/>
        <v>2</v>
      </c>
      <c r="M194" s="23">
        <v>1</v>
      </c>
      <c r="N194" s="23">
        <v>0</v>
      </c>
      <c r="O194" s="23">
        <v>0</v>
      </c>
      <c r="P194" s="23">
        <v>0</v>
      </c>
      <c r="Q194" s="23">
        <v>1</v>
      </c>
    </row>
    <row r="195" spans="1:17" x14ac:dyDescent="0.2">
      <c r="A195" t="s">
        <v>156</v>
      </c>
      <c r="B195" t="s">
        <v>24</v>
      </c>
      <c r="C195" t="s">
        <v>20</v>
      </c>
      <c r="D195" t="s">
        <v>25</v>
      </c>
      <c r="E195" t="s">
        <v>85</v>
      </c>
      <c r="F195" t="s">
        <v>96</v>
      </c>
      <c r="G195" t="s">
        <v>28</v>
      </c>
      <c r="H195" s="5">
        <f t="shared" si="9"/>
        <v>476</v>
      </c>
      <c r="I195" s="2">
        <v>50</v>
      </c>
      <c r="J195" s="2" t="str">
        <f t="shared" ref="J195:J233" si="10">TEXT(F195, "yyyy")</f>
        <v>2011</v>
      </c>
      <c r="K195" s="2">
        <v>0</v>
      </c>
      <c r="L195" s="2">
        <f t="shared" ref="L195:L233" si="11">M195+N195+O195+P195+Q195</f>
        <v>1</v>
      </c>
      <c r="M195" s="23">
        <v>0</v>
      </c>
      <c r="N195" s="23">
        <v>0</v>
      </c>
      <c r="O195" s="23">
        <v>0</v>
      </c>
      <c r="P195" s="23">
        <v>0</v>
      </c>
      <c r="Q195" s="23">
        <v>1</v>
      </c>
    </row>
    <row r="196" spans="1:17" x14ac:dyDescent="0.2">
      <c r="A196" t="s">
        <v>275</v>
      </c>
      <c r="B196" t="s">
        <v>24</v>
      </c>
      <c r="C196" t="s">
        <v>20</v>
      </c>
      <c r="D196" t="s">
        <v>25</v>
      </c>
      <c r="E196" t="s">
        <v>85</v>
      </c>
      <c r="F196" t="s">
        <v>28</v>
      </c>
      <c r="G196" t="s">
        <v>25</v>
      </c>
      <c r="H196" s="5">
        <f t="shared" si="9"/>
        <v>491</v>
      </c>
      <c r="I196" s="2">
        <v>48</v>
      </c>
      <c r="J196" s="2" t="str">
        <f t="shared" si="10"/>
        <v>2012</v>
      </c>
      <c r="K196" s="2">
        <v>1</v>
      </c>
      <c r="L196" s="2">
        <f t="shared" si="11"/>
        <v>0</v>
      </c>
      <c r="M196" s="23">
        <v>0</v>
      </c>
      <c r="N196" s="23">
        <v>0</v>
      </c>
      <c r="O196" s="23">
        <v>0</v>
      </c>
      <c r="P196" s="23">
        <v>0</v>
      </c>
      <c r="Q196" s="23">
        <v>0</v>
      </c>
    </row>
    <row r="197" spans="1:17" x14ac:dyDescent="0.2">
      <c r="A197" t="s">
        <v>139</v>
      </c>
      <c r="B197" t="s">
        <v>18</v>
      </c>
      <c r="C197" t="s">
        <v>19</v>
      </c>
      <c r="D197" t="s">
        <v>20</v>
      </c>
      <c r="E197" t="s">
        <v>35</v>
      </c>
      <c r="F197" t="s">
        <v>140</v>
      </c>
      <c r="G197" t="s">
        <v>20</v>
      </c>
      <c r="H197" s="5">
        <f t="shared" si="9"/>
        <v>363</v>
      </c>
      <c r="I197" s="2">
        <v>63</v>
      </c>
      <c r="J197" s="2" t="str">
        <f t="shared" si="10"/>
        <v>2009</v>
      </c>
      <c r="K197" s="2">
        <v>0</v>
      </c>
      <c r="L197" s="2">
        <f t="shared" si="11"/>
        <v>2</v>
      </c>
      <c r="M197" s="23">
        <v>0</v>
      </c>
      <c r="N197" s="23">
        <v>0</v>
      </c>
      <c r="O197" s="23">
        <v>1</v>
      </c>
      <c r="P197" s="23">
        <v>1</v>
      </c>
      <c r="Q197" s="23">
        <v>0</v>
      </c>
    </row>
    <row r="198" spans="1:17" x14ac:dyDescent="0.2">
      <c r="A198" t="s">
        <v>148</v>
      </c>
      <c r="B198" t="s">
        <v>18</v>
      </c>
      <c r="C198" t="s">
        <v>19</v>
      </c>
      <c r="D198" t="s">
        <v>20</v>
      </c>
      <c r="E198" t="s">
        <v>35</v>
      </c>
      <c r="F198" t="s">
        <v>19</v>
      </c>
      <c r="G198" t="s">
        <v>149</v>
      </c>
      <c r="H198" s="5">
        <f t="shared" si="9"/>
        <v>1097</v>
      </c>
      <c r="I198" s="2">
        <v>66</v>
      </c>
      <c r="J198" s="2" t="str">
        <f t="shared" si="10"/>
        <v>2006</v>
      </c>
      <c r="K198" s="2">
        <v>0</v>
      </c>
      <c r="L198" s="2">
        <f t="shared" si="11"/>
        <v>3</v>
      </c>
      <c r="M198" s="23">
        <v>0</v>
      </c>
      <c r="N198" s="23">
        <v>1</v>
      </c>
      <c r="O198" s="23">
        <v>1</v>
      </c>
      <c r="P198" s="23">
        <v>1</v>
      </c>
      <c r="Q198" s="23">
        <v>0</v>
      </c>
    </row>
    <row r="199" spans="1:17" x14ac:dyDescent="0.2">
      <c r="A199" t="s">
        <v>176</v>
      </c>
      <c r="B199" t="s">
        <v>37</v>
      </c>
      <c r="C199" t="s">
        <v>15</v>
      </c>
      <c r="D199" t="s">
        <v>34</v>
      </c>
      <c r="E199" t="s">
        <v>35</v>
      </c>
      <c r="F199" t="s">
        <v>94</v>
      </c>
      <c r="G199" t="s">
        <v>63</v>
      </c>
      <c r="H199" s="5">
        <f t="shared" si="9"/>
        <v>1736</v>
      </c>
      <c r="I199" s="2">
        <v>51</v>
      </c>
      <c r="J199" s="2" t="str">
        <f t="shared" si="10"/>
        <v>1994</v>
      </c>
      <c r="K199" s="2">
        <v>0</v>
      </c>
      <c r="L199" s="2">
        <f t="shared" si="11"/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</row>
    <row r="200" spans="1:17" x14ac:dyDescent="0.2">
      <c r="A200" t="s">
        <v>66</v>
      </c>
      <c r="B200" t="s">
        <v>33</v>
      </c>
      <c r="C200" t="s">
        <v>34</v>
      </c>
      <c r="D200" t="s">
        <v>19</v>
      </c>
      <c r="E200" t="s">
        <v>67</v>
      </c>
      <c r="F200" t="s">
        <v>68</v>
      </c>
      <c r="G200" t="s">
        <v>69</v>
      </c>
      <c r="H200" s="5">
        <f t="shared" si="9"/>
        <v>420</v>
      </c>
      <c r="I200" s="2">
        <v>46</v>
      </c>
      <c r="J200" s="2" t="str">
        <f t="shared" si="10"/>
        <v>2002</v>
      </c>
      <c r="K200" s="2">
        <v>0</v>
      </c>
      <c r="L200" s="2">
        <f t="shared" si="11"/>
        <v>2</v>
      </c>
      <c r="M200" s="23">
        <v>0</v>
      </c>
      <c r="N200" s="23">
        <v>0</v>
      </c>
      <c r="O200" s="23">
        <v>1</v>
      </c>
      <c r="P200" s="23">
        <v>1</v>
      </c>
      <c r="Q200" s="23">
        <v>0</v>
      </c>
    </row>
    <row r="201" spans="1:17" x14ac:dyDescent="0.2">
      <c r="A201" t="s">
        <v>129</v>
      </c>
      <c r="B201" t="s">
        <v>18</v>
      </c>
      <c r="C201" t="s">
        <v>19</v>
      </c>
      <c r="D201" t="s">
        <v>20</v>
      </c>
      <c r="E201" t="s">
        <v>67</v>
      </c>
      <c r="F201" t="s">
        <v>130</v>
      </c>
      <c r="G201" t="s">
        <v>20</v>
      </c>
      <c r="H201" s="5">
        <f t="shared" si="9"/>
        <v>490</v>
      </c>
      <c r="I201" s="2">
        <v>50</v>
      </c>
      <c r="J201" s="2" t="str">
        <f t="shared" si="10"/>
        <v>2008</v>
      </c>
      <c r="K201" s="2">
        <v>0</v>
      </c>
      <c r="L201" s="2">
        <f t="shared" si="11"/>
        <v>3</v>
      </c>
      <c r="M201" s="23">
        <v>1</v>
      </c>
      <c r="N201" s="23">
        <v>0</v>
      </c>
      <c r="O201" s="23">
        <v>1</v>
      </c>
      <c r="P201" s="23">
        <v>1</v>
      </c>
      <c r="Q201" s="23">
        <v>0</v>
      </c>
    </row>
    <row r="202" spans="1:17" x14ac:dyDescent="0.2">
      <c r="A202" t="s">
        <v>143</v>
      </c>
      <c r="B202" t="s">
        <v>37</v>
      </c>
      <c r="C202" t="s">
        <v>15</v>
      </c>
      <c r="D202" t="s">
        <v>34</v>
      </c>
      <c r="E202" t="s">
        <v>67</v>
      </c>
      <c r="F202" t="s">
        <v>144</v>
      </c>
      <c r="G202" t="s">
        <v>34</v>
      </c>
      <c r="H202" s="5">
        <f t="shared" si="9"/>
        <v>1312</v>
      </c>
      <c r="I202" s="2">
        <v>34</v>
      </c>
      <c r="J202" s="2" t="str">
        <f t="shared" si="10"/>
        <v>1996</v>
      </c>
      <c r="K202" s="2">
        <v>0</v>
      </c>
      <c r="L202" s="2">
        <f t="shared" si="11"/>
        <v>2</v>
      </c>
      <c r="M202" s="23">
        <v>0</v>
      </c>
      <c r="N202" s="23">
        <v>0</v>
      </c>
      <c r="O202" s="23">
        <v>1</v>
      </c>
      <c r="P202" s="23">
        <v>1</v>
      </c>
      <c r="Q202" s="23">
        <v>0</v>
      </c>
    </row>
    <row r="203" spans="1:17" x14ac:dyDescent="0.2">
      <c r="A203" t="s">
        <v>153</v>
      </c>
      <c r="B203" t="s">
        <v>33</v>
      </c>
      <c r="C203" t="s">
        <v>34</v>
      </c>
      <c r="D203" t="s">
        <v>19</v>
      </c>
      <c r="E203" t="s">
        <v>67</v>
      </c>
      <c r="F203" t="s">
        <v>69</v>
      </c>
      <c r="G203" t="s">
        <v>19</v>
      </c>
      <c r="H203" s="5">
        <f t="shared" si="9"/>
        <v>1104</v>
      </c>
      <c r="I203" s="2">
        <v>42</v>
      </c>
      <c r="J203" s="2" t="str">
        <f t="shared" si="10"/>
        <v>2003</v>
      </c>
      <c r="K203" s="2">
        <v>0</v>
      </c>
      <c r="L203" s="2">
        <f t="shared" si="11"/>
        <v>1</v>
      </c>
      <c r="M203" s="23">
        <v>1</v>
      </c>
      <c r="N203" s="23">
        <v>0</v>
      </c>
      <c r="O203" s="23">
        <v>0</v>
      </c>
      <c r="P203" s="23">
        <v>0</v>
      </c>
      <c r="Q203" s="23">
        <v>0</v>
      </c>
    </row>
    <row r="204" spans="1:17" x14ac:dyDescent="0.2">
      <c r="A204" t="s">
        <v>211</v>
      </c>
      <c r="B204" t="s">
        <v>37</v>
      </c>
      <c r="C204" t="s">
        <v>15</v>
      </c>
      <c r="D204" t="s">
        <v>34</v>
      </c>
      <c r="E204" t="s">
        <v>67</v>
      </c>
      <c r="F204" t="s">
        <v>15</v>
      </c>
      <c r="G204" t="s">
        <v>144</v>
      </c>
      <c r="H204" s="5">
        <f t="shared" si="9"/>
        <v>880</v>
      </c>
      <c r="I204" s="2">
        <v>61</v>
      </c>
      <c r="J204" s="2" t="str">
        <f t="shared" si="10"/>
        <v>1994</v>
      </c>
      <c r="K204" s="2">
        <v>0</v>
      </c>
      <c r="L204" s="2">
        <f t="shared" si="11"/>
        <v>4</v>
      </c>
      <c r="M204" s="23">
        <v>1</v>
      </c>
      <c r="N204" s="23">
        <v>0</v>
      </c>
      <c r="O204" s="23">
        <v>1</v>
      </c>
      <c r="P204" s="23">
        <v>1</v>
      </c>
      <c r="Q204" s="23">
        <v>1</v>
      </c>
    </row>
    <row r="205" spans="1:17" x14ac:dyDescent="0.2">
      <c r="A205" t="s">
        <v>217</v>
      </c>
      <c r="B205" t="s">
        <v>24</v>
      </c>
      <c r="C205" t="s">
        <v>20</v>
      </c>
      <c r="D205" t="s">
        <v>25</v>
      </c>
      <c r="E205" t="s">
        <v>67</v>
      </c>
      <c r="F205" t="s">
        <v>20</v>
      </c>
      <c r="G205" t="s">
        <v>25</v>
      </c>
      <c r="H205" s="5">
        <f t="shared" si="9"/>
        <v>1461</v>
      </c>
      <c r="I205" s="2">
        <v>55</v>
      </c>
      <c r="J205" s="2" t="str">
        <f t="shared" si="10"/>
        <v>2010</v>
      </c>
      <c r="K205" s="2">
        <v>0</v>
      </c>
      <c r="L205" s="2">
        <f t="shared" si="11"/>
        <v>2</v>
      </c>
      <c r="M205" s="23">
        <v>0</v>
      </c>
      <c r="N205" s="23">
        <v>0</v>
      </c>
      <c r="O205" s="23">
        <v>1</v>
      </c>
      <c r="P205" s="23">
        <v>0</v>
      </c>
      <c r="Q205" s="23">
        <v>1</v>
      </c>
    </row>
    <row r="206" spans="1:17" x14ac:dyDescent="0.2">
      <c r="A206" t="s">
        <v>71</v>
      </c>
      <c r="B206" t="s">
        <v>33</v>
      </c>
      <c r="C206" t="s">
        <v>34</v>
      </c>
      <c r="D206" t="s">
        <v>19</v>
      </c>
      <c r="E206" t="s">
        <v>67</v>
      </c>
      <c r="F206" t="s">
        <v>34</v>
      </c>
      <c r="G206" t="s">
        <v>68</v>
      </c>
      <c r="H206" s="5">
        <f t="shared" si="9"/>
        <v>667</v>
      </c>
      <c r="I206" s="2">
        <v>48</v>
      </c>
      <c r="J206" s="2" t="str">
        <f t="shared" si="10"/>
        <v>2000</v>
      </c>
      <c r="K206" s="2">
        <v>1</v>
      </c>
      <c r="L206" s="2">
        <f t="shared" si="11"/>
        <v>2</v>
      </c>
      <c r="M206" s="23">
        <v>0</v>
      </c>
      <c r="N206" s="23">
        <v>0</v>
      </c>
      <c r="O206" s="23">
        <v>1</v>
      </c>
      <c r="P206" s="23">
        <v>1</v>
      </c>
      <c r="Q206" s="23">
        <v>0</v>
      </c>
    </row>
    <row r="207" spans="1:17" x14ac:dyDescent="0.2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19</v>
      </c>
      <c r="G207" t="s">
        <v>22</v>
      </c>
      <c r="H207" s="5">
        <f t="shared" si="9"/>
        <v>1318</v>
      </c>
      <c r="I207" s="2">
        <v>37</v>
      </c>
      <c r="J207" s="2" t="str">
        <f t="shared" si="10"/>
        <v>2006</v>
      </c>
      <c r="K207" s="2">
        <v>1</v>
      </c>
      <c r="L207" s="2">
        <f t="shared" si="11"/>
        <v>1</v>
      </c>
      <c r="M207" s="23">
        <v>1</v>
      </c>
      <c r="N207" s="23">
        <v>0</v>
      </c>
      <c r="O207" s="23">
        <v>0</v>
      </c>
      <c r="P207" s="23">
        <v>0</v>
      </c>
      <c r="Q207" s="23">
        <v>0</v>
      </c>
    </row>
    <row r="208" spans="1:17" x14ac:dyDescent="0.2">
      <c r="A208" t="s">
        <v>83</v>
      </c>
      <c r="B208" t="s">
        <v>37</v>
      </c>
      <c r="C208" t="s">
        <v>15</v>
      </c>
      <c r="D208" t="s">
        <v>34</v>
      </c>
      <c r="E208" t="s">
        <v>21</v>
      </c>
      <c r="F208" t="s">
        <v>15</v>
      </c>
      <c r="G208" t="s">
        <v>34</v>
      </c>
      <c r="H208" s="5">
        <f t="shared" si="9"/>
        <v>2192</v>
      </c>
      <c r="I208" s="2">
        <v>61</v>
      </c>
      <c r="J208" s="2" t="str">
        <f t="shared" si="10"/>
        <v>1994</v>
      </c>
      <c r="K208" s="2">
        <v>1</v>
      </c>
      <c r="L208" s="2">
        <f t="shared" si="11"/>
        <v>0</v>
      </c>
      <c r="M208" s="23">
        <v>0</v>
      </c>
      <c r="N208" s="23">
        <v>0</v>
      </c>
      <c r="O208" s="23">
        <v>0</v>
      </c>
      <c r="P208" s="23">
        <v>0</v>
      </c>
      <c r="Q208" s="23">
        <v>0</v>
      </c>
    </row>
    <row r="209" spans="1:17" x14ac:dyDescent="0.2">
      <c r="A209" t="s">
        <v>122</v>
      </c>
      <c r="B209" t="s">
        <v>33</v>
      </c>
      <c r="C209" t="s">
        <v>34</v>
      </c>
      <c r="D209" t="s">
        <v>19</v>
      </c>
      <c r="E209" t="s">
        <v>21</v>
      </c>
      <c r="F209" t="s">
        <v>34</v>
      </c>
      <c r="G209" t="s">
        <v>69</v>
      </c>
      <c r="H209" s="5">
        <f t="shared" si="9"/>
        <v>1087</v>
      </c>
      <c r="I209" s="2">
        <v>53</v>
      </c>
      <c r="J209" s="2" t="str">
        <f t="shared" si="10"/>
        <v>2000</v>
      </c>
      <c r="K209" s="2">
        <v>1</v>
      </c>
      <c r="L209" s="2">
        <f t="shared" si="11"/>
        <v>0</v>
      </c>
      <c r="M209" s="23">
        <v>0</v>
      </c>
      <c r="N209" s="23">
        <v>0</v>
      </c>
      <c r="O209" s="23">
        <v>0</v>
      </c>
      <c r="P209" s="23">
        <v>0</v>
      </c>
      <c r="Q209" s="23">
        <v>0</v>
      </c>
    </row>
    <row r="210" spans="1:17" x14ac:dyDescent="0.2">
      <c r="A210" t="s">
        <v>242</v>
      </c>
      <c r="B210" t="s">
        <v>33</v>
      </c>
      <c r="C210" t="s">
        <v>34</v>
      </c>
      <c r="D210" t="s">
        <v>19</v>
      </c>
      <c r="E210" t="s">
        <v>21</v>
      </c>
      <c r="F210" t="s">
        <v>69</v>
      </c>
      <c r="G210" t="s">
        <v>19</v>
      </c>
      <c r="H210" s="5">
        <f t="shared" si="9"/>
        <v>1104</v>
      </c>
      <c r="I210" s="2">
        <v>36</v>
      </c>
      <c r="J210" s="2" t="str">
        <f t="shared" si="10"/>
        <v>2003</v>
      </c>
      <c r="K210" s="2">
        <v>1</v>
      </c>
      <c r="L210" s="2">
        <f t="shared" si="11"/>
        <v>0</v>
      </c>
      <c r="M210" s="23">
        <v>0</v>
      </c>
      <c r="N210" s="23">
        <v>0</v>
      </c>
      <c r="O210" s="23">
        <v>0</v>
      </c>
      <c r="P210" s="23">
        <v>0</v>
      </c>
      <c r="Q210" s="23">
        <v>0</v>
      </c>
    </row>
    <row r="211" spans="1:17" x14ac:dyDescent="0.2">
      <c r="A211" t="s">
        <v>271</v>
      </c>
      <c r="B211" t="s">
        <v>24</v>
      </c>
      <c r="C211" t="s">
        <v>20</v>
      </c>
      <c r="D211" t="s">
        <v>25</v>
      </c>
      <c r="E211" t="s">
        <v>21</v>
      </c>
      <c r="F211" t="s">
        <v>270</v>
      </c>
      <c r="G211" t="s">
        <v>25</v>
      </c>
      <c r="H211" s="5">
        <f t="shared" si="9"/>
        <v>323</v>
      </c>
      <c r="I211" s="2">
        <v>36</v>
      </c>
      <c r="J211" s="2" t="str">
        <f t="shared" si="10"/>
        <v>2013</v>
      </c>
      <c r="K211" s="2">
        <v>1</v>
      </c>
      <c r="L211" s="2">
        <f t="shared" si="11"/>
        <v>2</v>
      </c>
      <c r="M211" s="23">
        <v>0</v>
      </c>
      <c r="N211" s="23">
        <v>0</v>
      </c>
      <c r="O211" s="23">
        <v>1</v>
      </c>
      <c r="P211" s="23">
        <v>1</v>
      </c>
      <c r="Q211" s="23">
        <v>0</v>
      </c>
    </row>
    <row r="212" spans="1:17" x14ac:dyDescent="0.2">
      <c r="A212" t="s">
        <v>60</v>
      </c>
      <c r="B212" t="s">
        <v>37</v>
      </c>
      <c r="C212" t="s">
        <v>15</v>
      </c>
      <c r="D212" t="s">
        <v>34</v>
      </c>
      <c r="E212" t="s">
        <v>46</v>
      </c>
      <c r="F212" t="s">
        <v>15</v>
      </c>
      <c r="G212" t="s">
        <v>62</v>
      </c>
      <c r="H212" s="5">
        <f t="shared" si="9"/>
        <v>1604</v>
      </c>
      <c r="I212" s="2">
        <v>52</v>
      </c>
      <c r="J212" s="2" t="str">
        <f t="shared" si="10"/>
        <v>1994</v>
      </c>
      <c r="K212" s="2">
        <v>0</v>
      </c>
      <c r="L212" s="2">
        <f t="shared" si="11"/>
        <v>3</v>
      </c>
      <c r="M212" s="23">
        <v>1</v>
      </c>
      <c r="N212" s="23">
        <v>0</v>
      </c>
      <c r="O212" s="23">
        <v>1</v>
      </c>
      <c r="P212" s="23">
        <v>1</v>
      </c>
      <c r="Q212" s="23">
        <v>0</v>
      </c>
    </row>
    <row r="213" spans="1:17" x14ac:dyDescent="0.2">
      <c r="A213" t="s">
        <v>108</v>
      </c>
      <c r="B213" t="s">
        <v>13</v>
      </c>
      <c r="C213" t="s">
        <v>14</v>
      </c>
      <c r="D213" t="s">
        <v>15</v>
      </c>
      <c r="E213" t="s">
        <v>46</v>
      </c>
      <c r="F213" t="s">
        <v>14</v>
      </c>
      <c r="G213" t="s">
        <v>15</v>
      </c>
      <c r="H213" s="5">
        <f t="shared" si="9"/>
        <v>1461</v>
      </c>
      <c r="I213" s="2">
        <v>38</v>
      </c>
      <c r="J213" s="2" t="str">
        <f t="shared" si="10"/>
        <v>1990</v>
      </c>
      <c r="K213" s="2">
        <v>0</v>
      </c>
      <c r="L213" s="2">
        <f t="shared" si="11"/>
        <v>3</v>
      </c>
      <c r="M213" s="23">
        <v>0</v>
      </c>
      <c r="N213" s="23">
        <v>0</v>
      </c>
      <c r="O213" s="23">
        <v>1</v>
      </c>
      <c r="P213" s="23">
        <v>1</v>
      </c>
      <c r="Q213" s="23">
        <v>1</v>
      </c>
    </row>
    <row r="214" spans="1:17" x14ac:dyDescent="0.2">
      <c r="A214" t="s">
        <v>202</v>
      </c>
      <c r="B214" t="s">
        <v>33</v>
      </c>
      <c r="C214" t="s">
        <v>34</v>
      </c>
      <c r="D214" t="s">
        <v>19</v>
      </c>
      <c r="E214" t="s">
        <v>46</v>
      </c>
      <c r="F214" t="s">
        <v>203</v>
      </c>
      <c r="G214" t="s">
        <v>19</v>
      </c>
      <c r="H214" s="5">
        <f t="shared" si="9"/>
        <v>323</v>
      </c>
      <c r="I214" s="2">
        <v>44</v>
      </c>
      <c r="J214" s="2" t="str">
        <f t="shared" si="10"/>
        <v>2005</v>
      </c>
      <c r="K214" s="2">
        <v>0</v>
      </c>
      <c r="L214" s="2">
        <f t="shared" si="11"/>
        <v>1</v>
      </c>
      <c r="M214" s="23">
        <v>0</v>
      </c>
      <c r="N214" s="23">
        <v>0</v>
      </c>
      <c r="O214" s="23">
        <v>1</v>
      </c>
      <c r="P214" s="23">
        <v>0</v>
      </c>
      <c r="Q214" s="23">
        <v>0</v>
      </c>
    </row>
    <row r="215" spans="1:17" x14ac:dyDescent="0.2">
      <c r="A215" t="s">
        <v>223</v>
      </c>
      <c r="B215" t="s">
        <v>37</v>
      </c>
      <c r="C215" t="s">
        <v>15</v>
      </c>
      <c r="D215" t="s">
        <v>34</v>
      </c>
      <c r="E215" t="s">
        <v>46</v>
      </c>
      <c r="F215" t="s">
        <v>62</v>
      </c>
      <c r="G215" t="s">
        <v>34</v>
      </c>
      <c r="H215" s="5">
        <f t="shared" si="9"/>
        <v>588</v>
      </c>
      <c r="I215" s="2">
        <v>55</v>
      </c>
      <c r="J215" s="2" t="str">
        <f t="shared" si="10"/>
        <v>1998</v>
      </c>
      <c r="K215" s="2">
        <v>0</v>
      </c>
      <c r="L215" s="2">
        <f t="shared" si="11"/>
        <v>2</v>
      </c>
      <c r="M215" s="23">
        <v>0</v>
      </c>
      <c r="N215" s="23">
        <v>0</v>
      </c>
      <c r="O215" s="23">
        <v>1</v>
      </c>
      <c r="P215" s="23">
        <v>1</v>
      </c>
      <c r="Q215" s="23">
        <v>0</v>
      </c>
    </row>
    <row r="216" spans="1:17" x14ac:dyDescent="0.2">
      <c r="A216" t="s">
        <v>276</v>
      </c>
      <c r="B216" t="s">
        <v>33</v>
      </c>
      <c r="C216" t="s">
        <v>34</v>
      </c>
      <c r="D216" t="s">
        <v>19</v>
      </c>
      <c r="E216" t="s">
        <v>46</v>
      </c>
      <c r="F216" t="s">
        <v>34</v>
      </c>
      <c r="G216" t="s">
        <v>277</v>
      </c>
      <c r="H216" s="5">
        <f t="shared" si="9"/>
        <v>1871</v>
      </c>
      <c r="I216" s="2">
        <v>45</v>
      </c>
      <c r="J216" s="2" t="str">
        <f t="shared" si="10"/>
        <v>2000</v>
      </c>
      <c r="K216" s="2">
        <v>0</v>
      </c>
      <c r="L216" s="2">
        <f t="shared" si="11"/>
        <v>2</v>
      </c>
      <c r="M216" s="23">
        <v>0</v>
      </c>
      <c r="N216" s="23">
        <v>0</v>
      </c>
      <c r="O216" s="23">
        <v>1</v>
      </c>
      <c r="P216" s="23">
        <v>1</v>
      </c>
      <c r="Q216" s="23">
        <v>0</v>
      </c>
    </row>
    <row r="217" spans="1:17" x14ac:dyDescent="0.2">
      <c r="A217" t="s">
        <v>218</v>
      </c>
      <c r="B217" t="s">
        <v>24</v>
      </c>
      <c r="C217" t="s">
        <v>20</v>
      </c>
      <c r="D217" t="s">
        <v>25</v>
      </c>
      <c r="E217" t="s">
        <v>46</v>
      </c>
      <c r="F217" t="s">
        <v>20</v>
      </c>
      <c r="G217" t="s">
        <v>219</v>
      </c>
      <c r="H217" s="5">
        <f t="shared" si="9"/>
        <v>309</v>
      </c>
      <c r="I217" s="2">
        <v>42</v>
      </c>
      <c r="J217" s="2" t="str">
        <f t="shared" si="10"/>
        <v>2010</v>
      </c>
      <c r="K217" s="2">
        <v>1</v>
      </c>
      <c r="L217" s="2">
        <f t="shared" si="11"/>
        <v>2</v>
      </c>
      <c r="M217" s="23">
        <v>0</v>
      </c>
      <c r="N217" s="23">
        <v>0</v>
      </c>
      <c r="O217" s="23">
        <v>1</v>
      </c>
      <c r="P217" s="23">
        <v>0</v>
      </c>
      <c r="Q217" s="23">
        <v>1</v>
      </c>
    </row>
    <row r="218" spans="1:17" x14ac:dyDescent="0.2">
      <c r="A218" t="s">
        <v>272</v>
      </c>
      <c r="B218" t="s">
        <v>18</v>
      </c>
      <c r="C218" t="s">
        <v>19</v>
      </c>
      <c r="D218" t="s">
        <v>20</v>
      </c>
      <c r="E218" t="s">
        <v>46</v>
      </c>
      <c r="F218" t="s">
        <v>273</v>
      </c>
      <c r="G218" t="s">
        <v>20</v>
      </c>
      <c r="H218" s="5">
        <f t="shared" si="9"/>
        <v>451</v>
      </c>
      <c r="I218" s="2">
        <v>51</v>
      </c>
      <c r="J218" s="2" t="str">
        <f t="shared" si="10"/>
        <v>2008</v>
      </c>
      <c r="K218" s="2">
        <v>1</v>
      </c>
      <c r="L218" s="2">
        <f t="shared" si="11"/>
        <v>2</v>
      </c>
      <c r="M218" s="23">
        <v>0</v>
      </c>
      <c r="N218" s="23">
        <v>0</v>
      </c>
      <c r="O218" s="23">
        <v>1</v>
      </c>
      <c r="P218" s="23">
        <v>1</v>
      </c>
      <c r="Q218" s="23">
        <v>0</v>
      </c>
    </row>
    <row r="219" spans="1:17" x14ac:dyDescent="0.2">
      <c r="A219" t="s">
        <v>104</v>
      </c>
      <c r="B219" t="s">
        <v>13</v>
      </c>
      <c r="C219" t="s">
        <v>14</v>
      </c>
      <c r="D219" t="s">
        <v>15</v>
      </c>
      <c r="E219" t="s">
        <v>105</v>
      </c>
      <c r="F219" t="s">
        <v>14</v>
      </c>
      <c r="G219" t="s">
        <v>61</v>
      </c>
      <c r="H219" s="5">
        <f t="shared" si="9"/>
        <v>932</v>
      </c>
      <c r="I219" s="2">
        <v>50</v>
      </c>
      <c r="J219" s="2" t="str">
        <f t="shared" si="10"/>
        <v>1990</v>
      </c>
      <c r="K219" s="2">
        <v>0</v>
      </c>
      <c r="L219" s="2">
        <f t="shared" si="11"/>
        <v>0</v>
      </c>
      <c r="M219" s="23">
        <v>0</v>
      </c>
      <c r="N219" s="23">
        <v>0</v>
      </c>
      <c r="O219" s="23">
        <v>0</v>
      </c>
      <c r="P219" s="23">
        <v>0</v>
      </c>
      <c r="Q219" s="23">
        <v>0</v>
      </c>
    </row>
    <row r="220" spans="1:17" x14ac:dyDescent="0.2">
      <c r="A220" t="s">
        <v>108</v>
      </c>
      <c r="B220" t="s">
        <v>18</v>
      </c>
      <c r="C220" t="s">
        <v>19</v>
      </c>
      <c r="D220" t="s">
        <v>20</v>
      </c>
      <c r="E220" t="s">
        <v>105</v>
      </c>
      <c r="F220" t="s">
        <v>109</v>
      </c>
      <c r="G220" t="s">
        <v>20</v>
      </c>
      <c r="H220" s="5">
        <f t="shared" si="9"/>
        <v>1080</v>
      </c>
      <c r="I220" s="2">
        <v>55</v>
      </c>
      <c r="J220" s="2" t="str">
        <f t="shared" si="10"/>
        <v>2007</v>
      </c>
      <c r="K220" s="2">
        <v>0</v>
      </c>
      <c r="L220" s="2">
        <f t="shared" si="11"/>
        <v>3</v>
      </c>
      <c r="M220" s="23">
        <v>1</v>
      </c>
      <c r="N220" s="23">
        <v>0</v>
      </c>
      <c r="O220" s="23">
        <v>1</v>
      </c>
      <c r="P220" s="23">
        <v>0</v>
      </c>
      <c r="Q220" s="23">
        <v>1</v>
      </c>
    </row>
    <row r="221" spans="1:17" x14ac:dyDescent="0.2">
      <c r="A221" t="s">
        <v>112</v>
      </c>
      <c r="B221" t="s">
        <v>33</v>
      </c>
      <c r="C221" t="s">
        <v>34</v>
      </c>
      <c r="D221" t="s">
        <v>19</v>
      </c>
      <c r="E221" t="s">
        <v>105</v>
      </c>
      <c r="F221" t="s">
        <v>34</v>
      </c>
      <c r="G221" t="s">
        <v>68</v>
      </c>
      <c r="H221" s="5">
        <f t="shared" si="9"/>
        <v>667</v>
      </c>
      <c r="I221" s="2">
        <v>48</v>
      </c>
      <c r="J221" s="2" t="str">
        <f t="shared" si="10"/>
        <v>2000</v>
      </c>
      <c r="K221" s="2">
        <v>0</v>
      </c>
      <c r="L221" s="2">
        <f t="shared" si="11"/>
        <v>2</v>
      </c>
      <c r="M221" s="23">
        <v>1</v>
      </c>
      <c r="N221" s="23">
        <v>0</v>
      </c>
      <c r="O221" s="23">
        <v>0</v>
      </c>
      <c r="P221" s="23">
        <v>0</v>
      </c>
      <c r="Q221" s="23">
        <v>1</v>
      </c>
    </row>
    <row r="222" spans="1:17" x14ac:dyDescent="0.2">
      <c r="A222" t="s">
        <v>132</v>
      </c>
      <c r="B222" t="s">
        <v>18</v>
      </c>
      <c r="C222" t="s">
        <v>19</v>
      </c>
      <c r="D222" t="s">
        <v>20</v>
      </c>
      <c r="E222" t="s">
        <v>105</v>
      </c>
      <c r="F222" t="s">
        <v>19</v>
      </c>
      <c r="G222" t="s">
        <v>109</v>
      </c>
      <c r="H222" s="5">
        <f t="shared" si="9"/>
        <v>381</v>
      </c>
      <c r="I222" s="2">
        <v>38</v>
      </c>
      <c r="J222" s="2" t="str">
        <f t="shared" si="10"/>
        <v>2006</v>
      </c>
      <c r="K222" s="2">
        <v>0</v>
      </c>
      <c r="L222" s="2">
        <f t="shared" si="11"/>
        <v>3</v>
      </c>
      <c r="M222" s="23">
        <v>1</v>
      </c>
      <c r="N222" s="23">
        <v>0</v>
      </c>
      <c r="O222" s="23">
        <v>1</v>
      </c>
      <c r="P222" s="23">
        <v>1</v>
      </c>
      <c r="Q222" s="23">
        <v>0</v>
      </c>
    </row>
    <row r="223" spans="1:17" x14ac:dyDescent="0.2">
      <c r="A223" t="s">
        <v>133</v>
      </c>
      <c r="B223" t="s">
        <v>33</v>
      </c>
      <c r="C223" t="s">
        <v>34</v>
      </c>
      <c r="D223" t="s">
        <v>19</v>
      </c>
      <c r="E223" t="s">
        <v>105</v>
      </c>
      <c r="F223" t="s">
        <v>134</v>
      </c>
      <c r="G223" t="s">
        <v>19</v>
      </c>
      <c r="H223" s="5">
        <f t="shared" si="9"/>
        <v>432</v>
      </c>
      <c r="I223" s="2">
        <v>58</v>
      </c>
      <c r="J223" s="2" t="str">
        <f t="shared" si="10"/>
        <v>2005</v>
      </c>
      <c r="K223" s="2">
        <v>0</v>
      </c>
      <c r="L223" s="2">
        <f t="shared" si="11"/>
        <v>4</v>
      </c>
      <c r="M223" s="23">
        <v>1</v>
      </c>
      <c r="N223" s="23">
        <v>1</v>
      </c>
      <c r="O223" s="23">
        <v>1</v>
      </c>
      <c r="P223" s="23">
        <v>1</v>
      </c>
      <c r="Q223" s="23">
        <v>0</v>
      </c>
    </row>
    <row r="224" spans="1:17" x14ac:dyDescent="0.2">
      <c r="A224" t="s">
        <v>135</v>
      </c>
      <c r="B224" t="s">
        <v>33</v>
      </c>
      <c r="C224" t="s">
        <v>34</v>
      </c>
      <c r="D224" t="s">
        <v>19</v>
      </c>
      <c r="E224" t="s">
        <v>105</v>
      </c>
      <c r="F224" t="s">
        <v>68</v>
      </c>
      <c r="G224" t="s">
        <v>134</v>
      </c>
      <c r="H224" s="5">
        <f t="shared" si="9"/>
        <v>1092</v>
      </c>
      <c r="I224" s="2">
        <v>54</v>
      </c>
      <c r="J224" s="2" t="str">
        <f t="shared" si="10"/>
        <v>2002</v>
      </c>
      <c r="K224" s="2">
        <v>0</v>
      </c>
      <c r="L224" s="2">
        <f t="shared" si="11"/>
        <v>2</v>
      </c>
      <c r="M224" s="23">
        <v>1</v>
      </c>
      <c r="N224" s="23">
        <v>0</v>
      </c>
      <c r="O224" s="23">
        <v>0</v>
      </c>
      <c r="P224" s="23">
        <v>0</v>
      </c>
      <c r="Q224" s="23">
        <v>1</v>
      </c>
    </row>
    <row r="225" spans="1:17" x14ac:dyDescent="0.2">
      <c r="A225" t="s">
        <v>171</v>
      </c>
      <c r="B225" t="s">
        <v>37</v>
      </c>
      <c r="C225" t="s">
        <v>15</v>
      </c>
      <c r="D225" t="s">
        <v>34</v>
      </c>
      <c r="E225" t="s">
        <v>105</v>
      </c>
      <c r="F225" t="s">
        <v>56</v>
      </c>
      <c r="G225" t="s">
        <v>34</v>
      </c>
      <c r="H225" s="5">
        <f t="shared" si="9"/>
        <v>1260</v>
      </c>
      <c r="I225" s="2">
        <v>42</v>
      </c>
      <c r="J225" s="2" t="str">
        <f t="shared" si="10"/>
        <v>1996</v>
      </c>
      <c r="K225" s="2">
        <v>0</v>
      </c>
      <c r="L225" s="2">
        <f t="shared" si="11"/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</row>
    <row r="226" spans="1:17" x14ac:dyDescent="0.2">
      <c r="A226" t="s">
        <v>178</v>
      </c>
      <c r="B226" t="s">
        <v>37</v>
      </c>
      <c r="C226" t="s">
        <v>15</v>
      </c>
      <c r="D226" t="s">
        <v>34</v>
      </c>
      <c r="E226" t="s">
        <v>105</v>
      </c>
      <c r="F226" t="s">
        <v>15</v>
      </c>
      <c r="G226" t="s">
        <v>56</v>
      </c>
      <c r="H226" s="5">
        <f t="shared" si="9"/>
        <v>932</v>
      </c>
      <c r="I226" s="2">
        <v>69</v>
      </c>
      <c r="J226" s="2" t="str">
        <f t="shared" si="10"/>
        <v>1994</v>
      </c>
      <c r="K226" s="2">
        <v>0</v>
      </c>
      <c r="L226" s="2">
        <f t="shared" si="11"/>
        <v>3</v>
      </c>
      <c r="M226" s="23">
        <v>0</v>
      </c>
      <c r="N226" s="23">
        <v>1</v>
      </c>
      <c r="O226" s="23">
        <v>1</v>
      </c>
      <c r="P226" s="23">
        <v>1</v>
      </c>
      <c r="Q226" s="23">
        <v>0</v>
      </c>
    </row>
    <row r="227" spans="1:17" x14ac:dyDescent="0.2">
      <c r="A227" t="s">
        <v>223</v>
      </c>
      <c r="B227" t="s">
        <v>13</v>
      </c>
      <c r="C227" t="s">
        <v>14</v>
      </c>
      <c r="D227" t="s">
        <v>15</v>
      </c>
      <c r="E227" t="s">
        <v>105</v>
      </c>
      <c r="F227" t="s">
        <v>61</v>
      </c>
      <c r="G227" t="s">
        <v>15</v>
      </c>
      <c r="H227" s="5">
        <f t="shared" si="9"/>
        <v>529</v>
      </c>
      <c r="I227" s="2">
        <v>49</v>
      </c>
      <c r="J227" s="2" t="str">
        <f t="shared" si="10"/>
        <v>1992</v>
      </c>
      <c r="K227" s="2">
        <v>0</v>
      </c>
      <c r="L227" s="2">
        <f t="shared" si="11"/>
        <v>2</v>
      </c>
      <c r="M227" s="23">
        <v>0</v>
      </c>
      <c r="N227" s="23">
        <v>0</v>
      </c>
      <c r="O227" s="23">
        <v>1</v>
      </c>
      <c r="P227" s="23">
        <v>1</v>
      </c>
      <c r="Q227" s="23">
        <v>0</v>
      </c>
    </row>
    <row r="228" spans="1:17" x14ac:dyDescent="0.2">
      <c r="A228" t="s">
        <v>136</v>
      </c>
      <c r="B228" t="s">
        <v>13</v>
      </c>
      <c r="C228" t="s">
        <v>14</v>
      </c>
      <c r="D228" t="s">
        <v>15</v>
      </c>
      <c r="E228" t="s">
        <v>137</v>
      </c>
      <c r="F228" t="s">
        <v>14</v>
      </c>
      <c r="G228" t="s">
        <v>15</v>
      </c>
      <c r="H228" s="5">
        <f t="shared" si="9"/>
        <v>1461</v>
      </c>
      <c r="I228" s="2">
        <v>44</v>
      </c>
      <c r="J228" s="2" t="str">
        <f t="shared" si="10"/>
        <v>1990</v>
      </c>
      <c r="K228" s="2">
        <v>0</v>
      </c>
      <c r="L228" s="2">
        <f t="shared" si="11"/>
        <v>1</v>
      </c>
      <c r="M228" s="23">
        <v>0</v>
      </c>
      <c r="N228" s="23">
        <v>0</v>
      </c>
      <c r="O228" s="23">
        <v>1</v>
      </c>
      <c r="P228" s="23">
        <v>0</v>
      </c>
      <c r="Q228" s="23">
        <v>0</v>
      </c>
    </row>
    <row r="229" spans="1:17" x14ac:dyDescent="0.2">
      <c r="A229" t="s">
        <v>167</v>
      </c>
      <c r="B229" t="s">
        <v>37</v>
      </c>
      <c r="C229" t="s">
        <v>15</v>
      </c>
      <c r="D229" t="s">
        <v>34</v>
      </c>
      <c r="E229" t="s">
        <v>137</v>
      </c>
      <c r="F229" t="s">
        <v>168</v>
      </c>
      <c r="G229" t="s">
        <v>34</v>
      </c>
      <c r="H229" s="5">
        <f t="shared" si="9"/>
        <v>961</v>
      </c>
      <c r="I229" s="2">
        <v>42</v>
      </c>
      <c r="J229" s="2" t="str">
        <f t="shared" si="10"/>
        <v>1997</v>
      </c>
      <c r="K229" s="2">
        <v>0</v>
      </c>
      <c r="L229" s="2">
        <f t="shared" si="11"/>
        <v>2</v>
      </c>
      <c r="M229" s="23">
        <v>1</v>
      </c>
      <c r="N229" s="23">
        <v>0</v>
      </c>
      <c r="O229" s="23">
        <v>0</v>
      </c>
      <c r="P229" s="23">
        <v>0</v>
      </c>
      <c r="Q229" s="23">
        <v>1</v>
      </c>
    </row>
    <row r="230" spans="1:17" x14ac:dyDescent="0.2">
      <c r="A230" t="s">
        <v>169</v>
      </c>
      <c r="B230" t="s">
        <v>37</v>
      </c>
      <c r="C230" t="s">
        <v>15</v>
      </c>
      <c r="D230" t="s">
        <v>34</v>
      </c>
      <c r="E230" t="s">
        <v>137</v>
      </c>
      <c r="F230" t="s">
        <v>15</v>
      </c>
      <c r="G230" t="s">
        <v>168</v>
      </c>
      <c r="H230" s="5">
        <f t="shared" si="9"/>
        <v>1231</v>
      </c>
      <c r="I230" s="2">
        <v>37</v>
      </c>
      <c r="J230" s="2" t="str">
        <f t="shared" si="10"/>
        <v>1994</v>
      </c>
      <c r="K230" s="2">
        <v>0</v>
      </c>
      <c r="L230" s="2">
        <f t="shared" si="11"/>
        <v>2</v>
      </c>
      <c r="M230" s="23">
        <v>1</v>
      </c>
      <c r="N230" s="23">
        <v>0</v>
      </c>
      <c r="O230" s="23">
        <v>0</v>
      </c>
      <c r="P230" s="23">
        <v>0</v>
      </c>
      <c r="Q230" s="23">
        <v>1</v>
      </c>
    </row>
    <row r="231" spans="1:17" x14ac:dyDescent="0.2">
      <c r="A231" t="s">
        <v>253</v>
      </c>
      <c r="B231" t="s">
        <v>33</v>
      </c>
      <c r="C231" t="s">
        <v>34</v>
      </c>
      <c r="D231" t="s">
        <v>19</v>
      </c>
      <c r="E231" t="s">
        <v>137</v>
      </c>
      <c r="F231" t="s">
        <v>230</v>
      </c>
      <c r="G231" t="s">
        <v>254</v>
      </c>
      <c r="H231" s="5">
        <f t="shared" si="9"/>
        <v>1372</v>
      </c>
      <c r="I231" s="2">
        <v>54</v>
      </c>
      <c r="J231" s="2" t="str">
        <f t="shared" si="10"/>
        <v>2000</v>
      </c>
      <c r="K231" s="2">
        <v>0</v>
      </c>
      <c r="L231" s="2">
        <f t="shared" si="11"/>
        <v>3</v>
      </c>
      <c r="M231" s="23">
        <v>1</v>
      </c>
      <c r="N231" s="23">
        <v>0</v>
      </c>
      <c r="O231" s="23">
        <v>1</v>
      </c>
      <c r="P231" s="23">
        <v>1</v>
      </c>
      <c r="Q231" s="23">
        <v>0</v>
      </c>
    </row>
    <row r="232" spans="1:17" x14ac:dyDescent="0.2">
      <c r="A232" t="s">
        <v>237</v>
      </c>
      <c r="B232" t="s">
        <v>18</v>
      </c>
      <c r="C232" t="s">
        <v>19</v>
      </c>
      <c r="D232" t="s">
        <v>20</v>
      </c>
      <c r="E232" t="s">
        <v>137</v>
      </c>
      <c r="F232" t="s">
        <v>19</v>
      </c>
      <c r="G232" t="s">
        <v>20</v>
      </c>
      <c r="H232" s="5">
        <f t="shared" si="9"/>
        <v>1461</v>
      </c>
      <c r="I232" s="2">
        <v>59</v>
      </c>
      <c r="J232" s="2" t="str">
        <f t="shared" si="10"/>
        <v>2006</v>
      </c>
      <c r="K232" s="2">
        <v>1</v>
      </c>
      <c r="L232" s="2">
        <f t="shared" si="11"/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</row>
    <row r="233" spans="1:17" x14ac:dyDescent="0.2">
      <c r="A233" t="s">
        <v>288</v>
      </c>
      <c r="B233" t="s">
        <v>33</v>
      </c>
      <c r="C233" t="s">
        <v>34</v>
      </c>
      <c r="D233" t="s">
        <v>19</v>
      </c>
      <c r="E233" t="s">
        <v>137</v>
      </c>
      <c r="F233" t="s">
        <v>36</v>
      </c>
      <c r="G233" t="s">
        <v>19</v>
      </c>
      <c r="H233" s="5">
        <f t="shared" si="9"/>
        <v>528</v>
      </c>
      <c r="I233" s="2">
        <v>49</v>
      </c>
      <c r="J233" s="2" t="str">
        <f t="shared" si="10"/>
        <v>2004</v>
      </c>
      <c r="K233" s="2">
        <v>1</v>
      </c>
      <c r="L233" s="2">
        <f t="shared" si="11"/>
        <v>1</v>
      </c>
      <c r="M233" s="23">
        <v>1</v>
      </c>
      <c r="N233" s="23">
        <v>0</v>
      </c>
      <c r="O233" s="23">
        <v>0</v>
      </c>
      <c r="P233" s="23">
        <v>0</v>
      </c>
      <c r="Q233" s="23">
        <v>0</v>
      </c>
    </row>
  </sheetData>
  <autoFilter ref="A1:Q23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097C-913A-444F-969E-92A4586973FF}">
  <dimension ref="A1:E6"/>
  <sheetViews>
    <sheetView zoomScaleNormal="100" workbookViewId="0">
      <selection activeCell="G5" sqref="G5"/>
    </sheetView>
  </sheetViews>
  <sheetFormatPr baseColWidth="10" defaultRowHeight="15" x14ac:dyDescent="0.2"/>
  <cols>
    <col min="1" max="1" width="20.5" customWidth="1"/>
    <col min="2" max="2" width="33.83203125" customWidth="1"/>
    <col min="3" max="3" width="21.33203125" customWidth="1"/>
    <col min="4" max="4" width="12.6640625" bestFit="1" customWidth="1"/>
    <col min="5" max="5" width="12.33203125" customWidth="1"/>
  </cols>
  <sheetData>
    <row r="1" spans="1:5" x14ac:dyDescent="0.2">
      <c r="A1" s="7" t="s">
        <v>313</v>
      </c>
      <c r="B1" s="6" t="s">
        <v>314</v>
      </c>
      <c r="C1" s="6" t="s">
        <v>315</v>
      </c>
      <c r="D1" s="6" t="s">
        <v>316</v>
      </c>
      <c r="E1" s="6" t="s">
        <v>317</v>
      </c>
    </row>
    <row r="2" spans="1:5" ht="23.25" customHeight="1" x14ac:dyDescent="0.2">
      <c r="A2" s="14" t="s">
        <v>310</v>
      </c>
      <c r="B2" s="15"/>
      <c r="C2" s="16" t="s">
        <v>325</v>
      </c>
      <c r="D2" s="16">
        <v>3</v>
      </c>
      <c r="E2" s="13">
        <v>2192</v>
      </c>
    </row>
    <row r="3" spans="1:5" ht="64.5" customHeight="1" x14ac:dyDescent="0.2">
      <c r="A3" s="19" t="s">
        <v>311</v>
      </c>
      <c r="B3" s="17" t="s">
        <v>328</v>
      </c>
      <c r="C3" s="11" t="s">
        <v>325</v>
      </c>
      <c r="D3" s="11">
        <v>32</v>
      </c>
      <c r="E3" s="9">
        <v>71</v>
      </c>
    </row>
    <row r="4" spans="1:5" ht="77.25" customHeight="1" x14ac:dyDescent="0.2">
      <c r="A4" s="19" t="s">
        <v>333</v>
      </c>
      <c r="B4" s="17" t="s">
        <v>329</v>
      </c>
      <c r="C4" s="11" t="s">
        <v>326</v>
      </c>
      <c r="D4" s="11">
        <v>1990</v>
      </c>
      <c r="E4" s="9">
        <v>2013</v>
      </c>
    </row>
    <row r="5" spans="1:5" ht="60" customHeight="1" x14ac:dyDescent="0.2">
      <c r="A5" s="20" t="s">
        <v>336</v>
      </c>
      <c r="B5" s="18" t="s">
        <v>337</v>
      </c>
      <c r="C5" s="12" t="s">
        <v>335</v>
      </c>
      <c r="D5" s="12">
        <v>0</v>
      </c>
      <c r="E5" s="10">
        <v>4</v>
      </c>
    </row>
    <row r="6" spans="1:5" ht="63" customHeight="1" x14ac:dyDescent="0.2">
      <c r="A6" s="19" t="s">
        <v>338</v>
      </c>
      <c r="B6" s="17" t="s">
        <v>330</v>
      </c>
      <c r="C6" s="11" t="s">
        <v>327</v>
      </c>
      <c r="D6" s="11" t="s">
        <v>331</v>
      </c>
      <c r="E6" s="9" t="s">
        <v>332</v>
      </c>
    </row>
  </sheetData>
  <autoFilter ref="A1:E6" xr:uid="{3570097C-913A-444F-969E-92A4586973F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86B0E-9CA7-467F-A5AB-A05DB8E20E22}">
  <dimension ref="A1:B5"/>
  <sheetViews>
    <sheetView workbookViewId="0">
      <selection activeCell="D9" sqref="D9"/>
    </sheetView>
  </sheetViews>
  <sheetFormatPr baseColWidth="10" defaultRowHeight="15" x14ac:dyDescent="0.2"/>
  <cols>
    <col min="1" max="1" width="24.6640625" customWidth="1"/>
  </cols>
  <sheetData>
    <row r="1" spans="1:2" x14ac:dyDescent="0.2">
      <c r="A1" t="s">
        <v>318</v>
      </c>
      <c r="B1" t="s">
        <v>323</v>
      </c>
    </row>
    <row r="2" spans="1:2" x14ac:dyDescent="0.2">
      <c r="A2" t="s">
        <v>319</v>
      </c>
      <c r="B2" t="s">
        <v>323</v>
      </c>
    </row>
    <row r="3" spans="1:2" x14ac:dyDescent="0.2">
      <c r="A3" t="s">
        <v>320</v>
      </c>
      <c r="B3" t="s">
        <v>323</v>
      </c>
    </row>
    <row r="4" spans="1:2" x14ac:dyDescent="0.2">
      <c r="A4" t="s">
        <v>321</v>
      </c>
      <c r="B4" t="s">
        <v>323</v>
      </c>
    </row>
    <row r="5" spans="1:2" x14ac:dyDescent="0.2">
      <c r="A5" t="s">
        <v>322</v>
      </c>
      <c r="B5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codebook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PL33</dc:creator>
  <cp:lastModifiedBy>Kenneth Bunker</cp:lastModifiedBy>
  <dcterms:created xsi:type="dcterms:W3CDTF">2025-03-20T16:21:29Z</dcterms:created>
  <dcterms:modified xsi:type="dcterms:W3CDTF">2025-06-05T13:21:22Z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2025-05-14T02:49:03Z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1ca8457b-6d05-40b1-9147-1657093f21f6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